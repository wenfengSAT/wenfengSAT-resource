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办公最常用Excel表\财务报告分析表\"/>
    </mc:Choice>
  </mc:AlternateContent>
  <xr:revisionPtr revIDLastSave="0" documentId="13_ncr:1_{A1527295-765A-4630-B57E-B4E316518EB0}" xr6:coauthVersionLast="43" xr6:coauthVersionMax="43" xr10:uidLastSave="{00000000-0000-0000-0000-000000000000}"/>
  <bookViews>
    <workbookView showHorizontalScroll="0" showVerticalScroll="0" xWindow="-120" yWindow="-120" windowWidth="29040" windowHeight="15840" xr2:uid="{00000000-000D-0000-FFFF-FFFF00000000}"/>
  </bookViews>
  <sheets>
    <sheet name="目录" sheetId="6" r:id="rId1"/>
    <sheet name="记录" sheetId="1" r:id="rId2"/>
    <sheet name="按业务员查询" sheetId="2" r:id="rId3"/>
    <sheet name="分析" sheetId="5" r:id="rId4"/>
    <sheet name="按客户查询" sheetId="3" r:id="rId5"/>
  </sheets>
  <externalReferences>
    <externalReference r:id="rId6"/>
    <externalReference r:id="rId7"/>
    <externalReference r:id="rId8"/>
    <externalReference r:id="rId9"/>
  </externalReferences>
  <definedNames>
    <definedName name="DAT" localSheetId="0">[1]身份证码表!$A$1:$B$5806</definedName>
    <definedName name="DAT">[2]身份证码表!$A$1:$B$5806</definedName>
    <definedName name="_xlnm.Database">#REF!</definedName>
    <definedName name="x" localSheetId="0">OFFSET([1]基本信息!$AH$1,[1]查询打印!$B$2,,,)</definedName>
    <definedName name="x">OFFSET([2]基本信息!$AH$1,[2]查询打印!$B$2,,,)</definedName>
    <definedName name="XM" localSheetId="0">[1]基本信息!$B$2:$B$64</definedName>
    <definedName name="XM">[2]基本信息!$B$2:$B$64</definedName>
    <definedName name="y" localSheetId="0">OFFSET([1]基本信息!$AH$1,[1]信息打印!$B$2,,,)</definedName>
    <definedName name="y">OFFSET([2]基本信息!$AH$1,[2]信息打印!$B$2,,,)</definedName>
    <definedName name="费用641">#REF!</definedName>
    <definedName name="费用642">#REF!</definedName>
    <definedName name="费用643">#REF!</definedName>
    <definedName name="费用644">#REF!</definedName>
    <definedName name="季进度">#REF!</definedName>
    <definedName name="客户">按客户查询!$U$2:$U$15</definedName>
    <definedName name="业务">按业务员查询!$Y$2:$Y$15</definedName>
    <definedName name="月计划进度">[3]计划!$B$32</definedName>
    <definedName name="月进度">#REF!</definedName>
    <definedName name="长月计划">#REF!</definedName>
    <definedName name="中关村月计划">[4]营业部任务!$B$32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4" i="3" l="1" a="1"/>
  <c r="L24" i="3" s="1"/>
  <c r="K24" i="3" a="1"/>
  <c r="K24" i="3" s="1"/>
  <c r="J24" i="3" a="1"/>
  <c r="J24" i="3" s="1"/>
  <c r="F24" i="3" a="1"/>
  <c r="F24" i="3"/>
  <c r="E24" i="3" a="1"/>
  <c r="E24" i="3"/>
  <c r="D24" i="3" a="1"/>
  <c r="D24" i="3"/>
  <c r="C24" i="3" a="1"/>
  <c r="C24" i="3"/>
  <c r="B24" i="3" a="1"/>
  <c r="B24" i="3"/>
  <c r="A24" i="3" a="1"/>
  <c r="A24" i="3" s="1"/>
  <c r="L23" i="3" a="1"/>
  <c r="L23" i="3" s="1"/>
  <c r="K23" i="3" a="1"/>
  <c r="K23" i="3"/>
  <c r="J23" i="3" a="1"/>
  <c r="J23" i="3" s="1"/>
  <c r="F23" i="3" a="1"/>
  <c r="F23" i="3" s="1"/>
  <c r="E23" i="3" a="1"/>
  <c r="E23" i="3"/>
  <c r="D23" i="3" a="1"/>
  <c r="D23" i="3" s="1"/>
  <c r="C23" i="3" a="1"/>
  <c r="C23" i="3"/>
  <c r="B23" i="3" a="1"/>
  <c r="B23" i="3" s="1"/>
  <c r="A23" i="3" a="1"/>
  <c r="A23" i="3"/>
  <c r="L22" i="3" a="1"/>
  <c r="L22" i="3"/>
  <c r="K22" i="3" a="1"/>
  <c r="K22" i="3" s="1"/>
  <c r="J22" i="3" a="1"/>
  <c r="J22" i="3"/>
  <c r="F22" i="3" a="1"/>
  <c r="F22" i="3"/>
  <c r="E22" i="3" a="1"/>
  <c r="E22" i="3" s="1"/>
  <c r="D22" i="3" a="1"/>
  <c r="D22" i="3"/>
  <c r="C22" i="3" a="1"/>
  <c r="C22" i="3" s="1"/>
  <c r="B22" i="3" a="1"/>
  <c r="B22" i="3"/>
  <c r="A22" i="3" a="1"/>
  <c r="A22" i="3" s="1"/>
  <c r="L21" i="3" a="1"/>
  <c r="L21" i="3" s="1"/>
  <c r="K21" i="3" a="1"/>
  <c r="K21" i="3"/>
  <c r="J21" i="3" a="1"/>
  <c r="J21" i="3" s="1"/>
  <c r="F21" i="3" a="1"/>
  <c r="F21" i="3" s="1"/>
  <c r="E21" i="3" a="1"/>
  <c r="E21" i="3"/>
  <c r="D21" i="3" a="1"/>
  <c r="D21" i="3" s="1"/>
  <c r="C21" i="3" a="1"/>
  <c r="C21" i="3"/>
  <c r="B21" i="3" a="1"/>
  <c r="B21" i="3" s="1"/>
  <c r="A21" i="3" a="1"/>
  <c r="A21" i="3"/>
  <c r="L20" i="3" a="1"/>
  <c r="L20" i="3"/>
  <c r="K20" i="3" a="1"/>
  <c r="K20" i="3" s="1"/>
  <c r="J20" i="3" a="1"/>
  <c r="J20" i="3"/>
  <c r="F20" i="3" a="1"/>
  <c r="F20" i="3"/>
  <c r="E20" i="3" a="1"/>
  <c r="E20" i="3" s="1"/>
  <c r="D20" i="3" a="1"/>
  <c r="D20" i="3"/>
  <c r="C20" i="3" a="1"/>
  <c r="C20" i="3" s="1"/>
  <c r="B20" i="3" a="1"/>
  <c r="B20" i="3"/>
  <c r="A20" i="3" a="1"/>
  <c r="A20" i="3" s="1"/>
  <c r="L19" i="3" a="1"/>
  <c r="L19" i="3" s="1"/>
  <c r="K19" i="3" a="1"/>
  <c r="K19" i="3"/>
  <c r="J19" i="3" a="1"/>
  <c r="J19" i="3" s="1"/>
  <c r="F19" i="3" a="1"/>
  <c r="F19" i="3" s="1"/>
  <c r="E19" i="3" a="1"/>
  <c r="E19" i="3"/>
  <c r="D19" i="3" a="1"/>
  <c r="D19" i="3" s="1"/>
  <c r="C19" i="3" a="1"/>
  <c r="C19" i="3"/>
  <c r="B19" i="3" a="1"/>
  <c r="B19" i="3" s="1"/>
  <c r="A19" i="3" a="1"/>
  <c r="A19" i="3"/>
  <c r="L18" i="3" a="1"/>
  <c r="L18" i="3"/>
  <c r="K18" i="3" a="1"/>
  <c r="K18" i="3" s="1"/>
  <c r="J18" i="3" a="1"/>
  <c r="J18" i="3"/>
  <c r="F18" i="3" a="1"/>
  <c r="F18" i="3"/>
  <c r="E18" i="3" a="1"/>
  <c r="E18" i="3" s="1"/>
  <c r="D18" i="3" a="1"/>
  <c r="D18" i="3"/>
  <c r="C18" i="3" a="1"/>
  <c r="C18" i="3" s="1"/>
  <c r="B18" i="3" a="1"/>
  <c r="B18" i="3"/>
  <c r="A18" i="3" a="1"/>
  <c r="A18" i="3" s="1"/>
  <c r="L17" i="3" a="1"/>
  <c r="L17" i="3" s="1"/>
  <c r="K17" i="3" a="1"/>
  <c r="K17" i="3"/>
  <c r="J17" i="3" a="1"/>
  <c r="J17" i="3" s="1"/>
  <c r="F17" i="3" a="1"/>
  <c r="F17" i="3" s="1"/>
  <c r="E17" i="3" a="1"/>
  <c r="E17" i="3"/>
  <c r="D17" i="3" a="1"/>
  <c r="D17" i="3" s="1"/>
  <c r="C17" i="3" a="1"/>
  <c r="C17" i="3"/>
  <c r="B17" i="3" a="1"/>
  <c r="B17" i="3" s="1"/>
  <c r="A17" i="3" a="1"/>
  <c r="A17" i="3"/>
  <c r="L16" i="3" a="1"/>
  <c r="L16" i="3"/>
  <c r="K16" i="3" a="1"/>
  <c r="K16" i="3" s="1"/>
  <c r="J16" i="3" a="1"/>
  <c r="J16" i="3"/>
  <c r="F16" i="3" a="1"/>
  <c r="F16" i="3"/>
  <c r="E16" i="3" a="1"/>
  <c r="E16" i="3" s="1"/>
  <c r="D16" i="3" a="1"/>
  <c r="D16" i="3"/>
  <c r="C16" i="3" a="1"/>
  <c r="C16" i="3" s="1"/>
  <c r="B16" i="3" a="1"/>
  <c r="B16" i="3"/>
  <c r="A16" i="3" a="1"/>
  <c r="A16" i="3" s="1"/>
  <c r="L15" i="3" a="1"/>
  <c r="L15" i="3" s="1"/>
  <c r="K15" i="3" a="1"/>
  <c r="K15" i="3"/>
  <c r="J15" i="3" a="1"/>
  <c r="J15" i="3" s="1"/>
  <c r="H15" i="3"/>
  <c r="F15" i="3" a="1"/>
  <c r="F15" i="3" s="1"/>
  <c r="E15" i="3" a="1"/>
  <c r="E15" i="3"/>
  <c r="D15" i="3" a="1"/>
  <c r="D15" i="3" s="1"/>
  <c r="C15" i="3" a="1"/>
  <c r="C15" i="3"/>
  <c r="B15" i="3" a="1"/>
  <c r="B15" i="3" s="1"/>
  <c r="A15" i="3" a="1"/>
  <c r="A15" i="3" s="1"/>
  <c r="L14" i="3" a="1"/>
  <c r="L14" i="3"/>
  <c r="K14" i="3" a="1"/>
  <c r="K14" i="3" s="1"/>
  <c r="J14" i="3" a="1"/>
  <c r="J14" i="3"/>
  <c r="F14" i="3" a="1"/>
  <c r="F14" i="3"/>
  <c r="E14" i="3" a="1"/>
  <c r="E14" i="3" s="1"/>
  <c r="D14" i="3" a="1"/>
  <c r="D14" i="3"/>
  <c r="C14" i="3" a="1"/>
  <c r="C14" i="3" s="1"/>
  <c r="B14" i="3" a="1"/>
  <c r="B14" i="3" s="1"/>
  <c r="A14" i="3" a="1"/>
  <c r="A14" i="3" s="1"/>
  <c r="L13" i="3" a="1"/>
  <c r="L13" i="3" s="1"/>
  <c r="K13" i="3" a="1"/>
  <c r="K13" i="3"/>
  <c r="J13" i="3" a="1"/>
  <c r="J13" i="3" s="1"/>
  <c r="F13" i="3" a="1"/>
  <c r="F13" i="3" s="1"/>
  <c r="E13" i="3" a="1"/>
  <c r="E13" i="3" s="1"/>
  <c r="D13" i="3" a="1"/>
  <c r="D13" i="3" s="1"/>
  <c r="C13" i="3" a="1"/>
  <c r="C13" i="3" s="1"/>
  <c r="B13" i="3" a="1"/>
  <c r="B13" i="3" s="1"/>
  <c r="A13" i="3" a="1"/>
  <c r="A13" i="3"/>
  <c r="L12" i="3" a="1"/>
  <c r="L12" i="3"/>
  <c r="K12" i="3" a="1"/>
  <c r="K12" i="3"/>
  <c r="J12" i="3" a="1"/>
  <c r="J12" i="3"/>
  <c r="F12" i="3" a="1"/>
  <c r="F12" i="3" s="1"/>
  <c r="E12" i="3" a="1"/>
  <c r="E12" i="3" s="1"/>
  <c r="D12" i="3" a="1"/>
  <c r="D12" i="3" s="1"/>
  <c r="C12" i="3" a="1"/>
  <c r="C12" i="3" s="1"/>
  <c r="B12" i="3" a="1"/>
  <c r="B12" i="3"/>
  <c r="A12" i="3" a="1"/>
  <c r="A12" i="3" s="1"/>
  <c r="L11" i="3" a="1"/>
  <c r="L11" i="3"/>
  <c r="K11" i="3" a="1"/>
  <c r="K11" i="3"/>
  <c r="J11" i="3" a="1"/>
  <c r="J11" i="3"/>
  <c r="H11" i="3"/>
  <c r="F11" i="3" a="1"/>
  <c r="F11" i="3" s="1"/>
  <c r="E11" i="3" a="1"/>
  <c r="E11" i="3"/>
  <c r="D11" i="3" a="1"/>
  <c r="D11" i="3" s="1"/>
  <c r="C11" i="3" a="1"/>
  <c r="C11" i="3"/>
  <c r="B11" i="3" a="1"/>
  <c r="B11" i="3" s="1"/>
  <c r="A11" i="3" a="1"/>
  <c r="A11" i="3" s="1"/>
  <c r="L10" i="3" a="1"/>
  <c r="L10" i="3"/>
  <c r="K10" i="3" a="1"/>
  <c r="K10" i="3" s="1"/>
  <c r="J10" i="3" a="1"/>
  <c r="J10" i="3"/>
  <c r="F10" i="3" a="1"/>
  <c r="F10" i="3"/>
  <c r="E10" i="3" a="1"/>
  <c r="E10" i="3" s="1"/>
  <c r="D10" i="3" a="1"/>
  <c r="D10" i="3"/>
  <c r="C10" i="3" a="1"/>
  <c r="C10" i="3" s="1"/>
  <c r="B10" i="3" a="1"/>
  <c r="B10" i="3" s="1"/>
  <c r="A10" i="3" a="1"/>
  <c r="A10" i="3" s="1"/>
  <c r="L9" i="3" a="1"/>
  <c r="L9" i="3" s="1"/>
  <c r="K9" i="3" a="1"/>
  <c r="K9" i="3"/>
  <c r="J9" i="3" a="1"/>
  <c r="J9" i="3" s="1"/>
  <c r="F9" i="3" a="1"/>
  <c r="F9" i="3" s="1"/>
  <c r="E9" i="3" a="1"/>
  <c r="E9" i="3" s="1"/>
  <c r="D9" i="3" a="1"/>
  <c r="D9" i="3" s="1"/>
  <c r="C9" i="3" a="1"/>
  <c r="C9" i="3" s="1"/>
  <c r="B9" i="3" a="1"/>
  <c r="B9" i="3" s="1"/>
  <c r="A9" i="3" a="1"/>
  <c r="A9" i="3"/>
  <c r="L8" i="3" a="1"/>
  <c r="L8" i="3"/>
  <c r="K8" i="3" a="1"/>
  <c r="K8" i="3"/>
  <c r="J8" i="3" a="1"/>
  <c r="J8" i="3"/>
  <c r="F8" i="3" a="1"/>
  <c r="F8" i="3" s="1"/>
  <c r="E8" i="3" a="1"/>
  <c r="E8" i="3" s="1"/>
  <c r="D8" i="3" a="1"/>
  <c r="D8" i="3" s="1"/>
  <c r="C8" i="3" a="1"/>
  <c r="C8" i="3" s="1"/>
  <c r="B8" i="3" a="1"/>
  <c r="B8" i="3"/>
  <c r="A8" i="3" a="1"/>
  <c r="A8" i="3" s="1"/>
  <c r="L7" i="3" a="1"/>
  <c r="L7" i="3"/>
  <c r="K7" i="3" a="1"/>
  <c r="K7" i="3"/>
  <c r="J7" i="3" a="1"/>
  <c r="J7" i="3"/>
  <c r="H7" i="3"/>
  <c r="F7" i="3" a="1"/>
  <c r="F7" i="3"/>
  <c r="E7" i="3" a="1"/>
  <c r="E7" i="3" s="1"/>
  <c r="D7" i="3" a="1"/>
  <c r="D7" i="3"/>
  <c r="C7" i="3" a="1"/>
  <c r="C7" i="3" s="1"/>
  <c r="B7" i="3" a="1"/>
  <c r="B7" i="3" s="1"/>
  <c r="A7" i="3" a="1"/>
  <c r="A7" i="3" s="1"/>
  <c r="L6" i="3" a="1"/>
  <c r="L6" i="3"/>
  <c r="K6" i="3" a="1"/>
  <c r="K6" i="3"/>
  <c r="J6" i="3" a="1"/>
  <c r="J6" i="3"/>
  <c r="F6" i="3" a="1"/>
  <c r="F6" i="3" s="1"/>
  <c r="E6" i="3" a="1"/>
  <c r="E6" i="3"/>
  <c r="D6" i="3" a="1"/>
  <c r="D6" i="3" s="1"/>
  <c r="C6" i="3" a="1"/>
  <c r="C6" i="3" s="1"/>
  <c r="B6" i="3" a="1"/>
  <c r="B6" i="3" s="1"/>
  <c r="A6" i="3" a="1"/>
  <c r="A6" i="3" s="1"/>
  <c r="L5" i="3" a="1"/>
  <c r="L5" i="3"/>
  <c r="K5" i="3" a="1"/>
  <c r="K5" i="3"/>
  <c r="J5" i="3" a="1"/>
  <c r="J5" i="3"/>
  <c r="H5" i="3"/>
  <c r="F5" i="3" a="1"/>
  <c r="F5" i="3" s="1"/>
  <c r="E5" i="3" a="1"/>
  <c r="E5" i="3" s="1"/>
  <c r="D5" i="3" a="1"/>
  <c r="D5" i="3" s="1"/>
  <c r="C5" i="3" a="1"/>
  <c r="C5" i="3" s="1"/>
  <c r="B5" i="3" a="1"/>
  <c r="B5" i="3" s="1"/>
  <c r="A5" i="3" a="1"/>
  <c r="A5" i="3" s="1"/>
  <c r="K4" i="3"/>
  <c r="J4" i="3" a="1"/>
  <c r="J4" i="3" s="1"/>
  <c r="F4" i="3" a="1"/>
  <c r="F4" i="3"/>
  <c r="E4" i="3" a="1"/>
  <c r="E4" i="3"/>
  <c r="D4" i="3" a="1"/>
  <c r="D4" i="3"/>
  <c r="C4" i="3" a="1"/>
  <c r="C4" i="3"/>
  <c r="B4" i="3" a="1"/>
  <c r="B4" i="3"/>
  <c r="J3" i="3" a="1"/>
  <c r="J3" i="3" s="1"/>
  <c r="G3" i="3"/>
  <c r="F3" i="3" a="1"/>
  <c r="F3" i="3"/>
  <c r="E3" i="3" a="1"/>
  <c r="E3" i="3"/>
  <c r="D3" i="3" a="1"/>
  <c r="D3" i="3"/>
  <c r="C3" i="3" a="1"/>
  <c r="C3" i="3"/>
  <c r="B3" i="3" a="1"/>
  <c r="B3" i="3"/>
  <c r="G13" i="5"/>
  <c r="G11" i="5"/>
  <c r="J7" i="5"/>
  <c r="J11" i="5" s="1"/>
  <c r="J13" i="5" s="1"/>
  <c r="I7" i="5"/>
  <c r="I11" i="5" s="1"/>
  <c r="I13" i="5" s="1"/>
  <c r="H7" i="5"/>
  <c r="H11" i="5" s="1"/>
  <c r="H13" i="5" s="1"/>
  <c r="G7" i="5"/>
  <c r="F7" i="5"/>
  <c r="F11" i="5" s="1"/>
  <c r="F13" i="5" s="1"/>
  <c r="E7" i="5"/>
  <c r="E11" i="5" s="1"/>
  <c r="E13" i="5" s="1"/>
  <c r="D7" i="5"/>
  <c r="D11" i="5" s="1"/>
  <c r="D13" i="5" s="1"/>
  <c r="C7" i="5"/>
  <c r="C11" i="5" s="1"/>
  <c r="C13" i="5" s="1"/>
  <c r="C14" i="5" s="1"/>
  <c r="J6" i="5"/>
  <c r="I6" i="5"/>
  <c r="H6" i="5"/>
  <c r="G6" i="5"/>
  <c r="F6" i="5"/>
  <c r="E6" i="5"/>
  <c r="D6" i="5"/>
  <c r="C6" i="5"/>
  <c r="J5" i="5"/>
  <c r="I5" i="5"/>
  <c r="H5" i="5"/>
  <c r="G5" i="5"/>
  <c r="F5" i="5"/>
  <c r="E5" i="5"/>
  <c r="D5" i="5"/>
  <c r="C5" i="5"/>
  <c r="P24" i="2" a="1"/>
  <c r="P24" i="2"/>
  <c r="O24" i="2" a="1"/>
  <c r="O24" i="2" s="1"/>
  <c r="N24" i="2" a="1"/>
  <c r="N24" i="2"/>
  <c r="L24" i="2" a="1"/>
  <c r="L24" i="2"/>
  <c r="J24" i="2" a="1"/>
  <c r="J24" i="2" s="1"/>
  <c r="T24" i="2" s="1"/>
  <c r="I24" i="2" a="1"/>
  <c r="I24" i="2"/>
  <c r="S24" i="2" s="1"/>
  <c r="G24" i="2" a="1"/>
  <c r="G24" i="2"/>
  <c r="Q24" i="2" s="1"/>
  <c r="E24" i="2" a="1"/>
  <c r="E24" i="2" s="1"/>
  <c r="D24" i="2" a="1"/>
  <c r="D24" i="2" s="1"/>
  <c r="C24" i="2" a="1"/>
  <c r="C24" i="2" s="1"/>
  <c r="B24" i="2" a="1"/>
  <c r="B24" i="2" s="1"/>
  <c r="A24" i="2" a="1"/>
  <c r="A24" i="2" s="1"/>
  <c r="H24" i="2" s="1"/>
  <c r="R24" i="2" s="1"/>
  <c r="P23" i="2" a="1"/>
  <c r="P23" i="2"/>
  <c r="O23" i="2" a="1"/>
  <c r="O23" i="2"/>
  <c r="N23" i="2" a="1"/>
  <c r="N23" i="2"/>
  <c r="L23" i="2" a="1"/>
  <c r="L23" i="2" s="1"/>
  <c r="K23" i="2"/>
  <c r="U23" i="2" s="1"/>
  <c r="J23" i="2" a="1"/>
  <c r="J23" i="2"/>
  <c r="T23" i="2" s="1"/>
  <c r="I23" i="2" a="1"/>
  <c r="I23" i="2"/>
  <c r="S23" i="2" s="1"/>
  <c r="G23" i="2" a="1"/>
  <c r="G23" i="2" s="1"/>
  <c r="Q23" i="2" s="1"/>
  <c r="F23" i="2"/>
  <c r="E23" i="2" a="1"/>
  <c r="E23" i="2"/>
  <c r="D23" i="2" a="1"/>
  <c r="D23" i="2"/>
  <c r="C23" i="2" a="1"/>
  <c r="C23" i="2"/>
  <c r="B23" i="2" a="1"/>
  <c r="B23" i="2"/>
  <c r="A23" i="2" a="1"/>
  <c r="A23" i="2"/>
  <c r="H23" i="2" s="1"/>
  <c r="R23" i="2" s="1"/>
  <c r="T22" i="2"/>
  <c r="P22" i="2" a="1"/>
  <c r="P22" i="2" s="1"/>
  <c r="O22" i="2" a="1"/>
  <c r="O22" i="2"/>
  <c r="N22" i="2" a="1"/>
  <c r="N22" i="2" s="1"/>
  <c r="L22" i="2" a="1"/>
  <c r="L22" i="2"/>
  <c r="J22" i="2" a="1"/>
  <c r="J22" i="2"/>
  <c r="I22" i="2" a="1"/>
  <c r="I22" i="2" s="1"/>
  <c r="S22" i="2" s="1"/>
  <c r="G22" i="2" a="1"/>
  <c r="G22" i="2"/>
  <c r="Q22" i="2" s="1"/>
  <c r="E22" i="2" a="1"/>
  <c r="E22" i="2"/>
  <c r="D22" i="2" a="1"/>
  <c r="D22" i="2" s="1"/>
  <c r="M24" i="2" s="1"/>
  <c r="C22" i="2" a="1"/>
  <c r="C22" i="2" s="1"/>
  <c r="B22" i="2" a="1"/>
  <c r="B22" i="2" s="1"/>
  <c r="A22" i="2" a="1"/>
  <c r="A22" i="2" s="1"/>
  <c r="Q21" i="2"/>
  <c r="P21" i="2" a="1"/>
  <c r="P21" i="2"/>
  <c r="O21" i="2" a="1"/>
  <c r="O21" i="2"/>
  <c r="N21" i="2" a="1"/>
  <c r="N21" i="2"/>
  <c r="L21" i="2" a="1"/>
  <c r="L21" i="2" s="1"/>
  <c r="J21" i="2" a="1"/>
  <c r="J21" i="2"/>
  <c r="T21" i="2" s="1"/>
  <c r="I21" i="2" a="1"/>
  <c r="I21" i="2"/>
  <c r="S21" i="2" s="1"/>
  <c r="G21" i="2" a="1"/>
  <c r="G21" i="2" s="1"/>
  <c r="E21" i="2" a="1"/>
  <c r="E21" i="2" s="1"/>
  <c r="D21" i="2" a="1"/>
  <c r="D21" i="2"/>
  <c r="M23" i="2" s="1"/>
  <c r="C21" i="2" a="1"/>
  <c r="C21" i="2" s="1"/>
  <c r="B21" i="2" a="1"/>
  <c r="B21" i="2"/>
  <c r="A21" i="2" a="1"/>
  <c r="A21" i="2" s="1"/>
  <c r="P20" i="2" a="1"/>
  <c r="P20" i="2"/>
  <c r="O20" i="2" a="1"/>
  <c r="O20" i="2" s="1"/>
  <c r="N20" i="2" a="1"/>
  <c r="N20" i="2"/>
  <c r="L20" i="2" a="1"/>
  <c r="L20" i="2"/>
  <c r="K20" i="2"/>
  <c r="U20" i="2" s="1"/>
  <c r="J20" i="2" a="1"/>
  <c r="J20" i="2" s="1"/>
  <c r="T20" i="2" s="1"/>
  <c r="I20" i="2" a="1"/>
  <c r="I20" i="2" s="1"/>
  <c r="S20" i="2" s="1"/>
  <c r="H20" i="2"/>
  <c r="R20" i="2" s="1"/>
  <c r="G20" i="2" a="1"/>
  <c r="G20" i="2"/>
  <c r="Q20" i="2" s="1"/>
  <c r="E20" i="2" a="1"/>
  <c r="E20" i="2" s="1"/>
  <c r="D20" i="2" a="1"/>
  <c r="D20" i="2" s="1"/>
  <c r="M22" i="2" s="1"/>
  <c r="C20" i="2" a="1"/>
  <c r="C20" i="2" s="1"/>
  <c r="B20" i="2" a="1"/>
  <c r="B20" i="2" s="1"/>
  <c r="A20" i="2" a="1"/>
  <c r="A20" i="2" s="1"/>
  <c r="F20" i="2" s="1"/>
  <c r="P19" i="2" a="1"/>
  <c r="P19" i="2" s="1"/>
  <c r="O19" i="2" a="1"/>
  <c r="O19" i="2" s="1"/>
  <c r="N19" i="2" a="1"/>
  <c r="N19" i="2" s="1"/>
  <c r="L19" i="2" a="1"/>
  <c r="L19" i="2"/>
  <c r="J19" i="2" a="1"/>
  <c r="J19" i="2" s="1"/>
  <c r="T19" i="2" s="1"/>
  <c r="I19" i="2" a="1"/>
  <c r="I19" i="2" s="1"/>
  <c r="S19" i="2" s="1"/>
  <c r="G19" i="2" a="1"/>
  <c r="G19" i="2"/>
  <c r="Q19" i="2" s="1"/>
  <c r="E19" i="2" a="1"/>
  <c r="E19" i="2" s="1"/>
  <c r="D19" i="2" a="1"/>
  <c r="D19" i="2" s="1"/>
  <c r="M21" i="2" s="1"/>
  <c r="C19" i="2" a="1"/>
  <c r="C19" i="2" s="1"/>
  <c r="B19" i="2" a="1"/>
  <c r="B19" i="2" s="1"/>
  <c r="A19" i="2" a="1"/>
  <c r="A19" i="2" s="1"/>
  <c r="P18" i="2" a="1"/>
  <c r="P18" i="2"/>
  <c r="O18" i="2" a="1"/>
  <c r="O18" i="2"/>
  <c r="N18" i="2" a="1"/>
  <c r="N18" i="2"/>
  <c r="L18" i="2" a="1"/>
  <c r="L18" i="2" s="1"/>
  <c r="J18" i="2" a="1"/>
  <c r="J18" i="2"/>
  <c r="T18" i="2" s="1"/>
  <c r="I18" i="2" a="1"/>
  <c r="I18" i="2" s="1"/>
  <c r="S18" i="2" s="1"/>
  <c r="G18" i="2" a="1"/>
  <c r="G18" i="2" s="1"/>
  <c r="Q18" i="2" s="1"/>
  <c r="E18" i="2" a="1"/>
  <c r="E18" i="2"/>
  <c r="D18" i="2" a="1"/>
  <c r="D18" i="2" s="1"/>
  <c r="M20" i="2" s="1"/>
  <c r="C18" i="2" a="1"/>
  <c r="C18" i="2"/>
  <c r="B18" i="2" a="1"/>
  <c r="B18" i="2" s="1"/>
  <c r="A18" i="2" a="1"/>
  <c r="A18" i="2"/>
  <c r="K18" i="2" s="1"/>
  <c r="U18" i="2" s="1"/>
  <c r="P17" i="2" a="1"/>
  <c r="P17" i="2" s="1"/>
  <c r="O17" i="2" a="1"/>
  <c r="O17" i="2" s="1"/>
  <c r="N17" i="2" a="1"/>
  <c r="N17" i="2" s="1"/>
  <c r="L17" i="2" a="1"/>
  <c r="L17" i="2" s="1"/>
  <c r="J17" i="2" a="1"/>
  <c r="J17" i="2" s="1"/>
  <c r="T17" i="2" s="1"/>
  <c r="I17" i="2" a="1"/>
  <c r="I17" i="2" s="1"/>
  <c r="S17" i="2" s="1"/>
  <c r="G17" i="2" a="1"/>
  <c r="G17" i="2" s="1"/>
  <c r="Q17" i="2" s="1"/>
  <c r="E17" i="2" a="1"/>
  <c r="E17" i="2" s="1"/>
  <c r="D17" i="2" a="1"/>
  <c r="D17" i="2" s="1"/>
  <c r="M19" i="2" s="1"/>
  <c r="C17" i="2" a="1"/>
  <c r="C17" i="2" s="1"/>
  <c r="B17" i="2" a="1"/>
  <c r="B17" i="2" s="1"/>
  <c r="A17" i="2" a="1"/>
  <c r="A17" i="2" s="1"/>
  <c r="P16" i="2" a="1"/>
  <c r="P16" i="2"/>
  <c r="O16" i="2" a="1"/>
  <c r="O16" i="2" s="1"/>
  <c r="N16" i="2" a="1"/>
  <c r="N16" i="2"/>
  <c r="L16" i="2" a="1"/>
  <c r="L16" i="2" s="1"/>
  <c r="J16" i="2" a="1"/>
  <c r="J16" i="2" s="1"/>
  <c r="T16" i="2" s="1"/>
  <c r="I16" i="2" a="1"/>
  <c r="I16" i="2"/>
  <c r="S16" i="2" s="1"/>
  <c r="G16" i="2" a="1"/>
  <c r="G16" i="2" s="1"/>
  <c r="Q16" i="2" s="1"/>
  <c r="E16" i="2" a="1"/>
  <c r="E16" i="2" s="1"/>
  <c r="D16" i="2" a="1"/>
  <c r="D16" i="2"/>
  <c r="M18" i="2" s="1"/>
  <c r="C16" i="2" a="1"/>
  <c r="C16" i="2" s="1"/>
  <c r="B16" i="2" a="1"/>
  <c r="B16" i="2"/>
  <c r="A16" i="2" a="1"/>
  <c r="A16" i="2" s="1"/>
  <c r="P15" i="2" a="1"/>
  <c r="P15" i="2" s="1"/>
  <c r="O15" i="2" a="1"/>
  <c r="O15" i="2" s="1"/>
  <c r="N15" i="2" a="1"/>
  <c r="N15" i="2" s="1"/>
  <c r="L15" i="2" a="1"/>
  <c r="L15" i="2"/>
  <c r="J15" i="2" a="1"/>
  <c r="J15" i="2" s="1"/>
  <c r="T15" i="2" s="1"/>
  <c r="I15" i="2" a="1"/>
  <c r="I15" i="2" s="1"/>
  <c r="S15" i="2" s="1"/>
  <c r="G15" i="2" a="1"/>
  <c r="G15" i="2"/>
  <c r="Q15" i="2" s="1"/>
  <c r="E15" i="2" a="1"/>
  <c r="E15" i="2" s="1"/>
  <c r="D15" i="2" a="1"/>
  <c r="D15" i="2" s="1"/>
  <c r="M17" i="2" s="1"/>
  <c r="C15" i="2" a="1"/>
  <c r="C15" i="2" s="1"/>
  <c r="B15" i="2" a="1"/>
  <c r="B15" i="2" s="1"/>
  <c r="A15" i="2" a="1"/>
  <c r="A15" i="2" s="1"/>
  <c r="P14" i="2" a="1"/>
  <c r="P14" i="2" s="1"/>
  <c r="O14" i="2" a="1"/>
  <c r="O14" i="2"/>
  <c r="N14" i="2" a="1"/>
  <c r="N14" i="2" s="1"/>
  <c r="L14" i="2" a="1"/>
  <c r="L14" i="2" s="1"/>
  <c r="J14" i="2" a="1"/>
  <c r="J14" i="2"/>
  <c r="T14" i="2" s="1"/>
  <c r="I14" i="2" a="1"/>
  <c r="I14" i="2" s="1"/>
  <c r="S14" i="2" s="1"/>
  <c r="G14" i="2" a="1"/>
  <c r="G14" i="2" s="1"/>
  <c r="Q14" i="2" s="1"/>
  <c r="E14" i="2" a="1"/>
  <c r="E14" i="2"/>
  <c r="D14" i="2" a="1"/>
  <c r="D14" i="2" s="1"/>
  <c r="M16" i="2" s="1"/>
  <c r="C14" i="2" a="1"/>
  <c r="C14" i="2"/>
  <c r="B14" i="2" a="1"/>
  <c r="B14" i="2" s="1"/>
  <c r="A14" i="2" a="1"/>
  <c r="A14" i="2"/>
  <c r="K14" i="2" s="1"/>
  <c r="U14" i="2" s="1"/>
  <c r="P13" i="2" a="1"/>
  <c r="P13" i="2" s="1"/>
  <c r="O13" i="2" a="1"/>
  <c r="O13" i="2" s="1"/>
  <c r="N13" i="2" a="1"/>
  <c r="N13" i="2" s="1"/>
  <c r="L13" i="2" a="1"/>
  <c r="L13" i="2" s="1"/>
  <c r="J13" i="2" a="1"/>
  <c r="J13" i="2" s="1"/>
  <c r="T13" i="2" s="1"/>
  <c r="I13" i="2" a="1"/>
  <c r="I13" i="2" s="1"/>
  <c r="S13" i="2" s="1"/>
  <c r="G13" i="2" a="1"/>
  <c r="G13" i="2" s="1"/>
  <c r="Q13" i="2" s="1"/>
  <c r="E13" i="2" a="1"/>
  <c r="E13" i="2" s="1"/>
  <c r="D13" i="2" a="1"/>
  <c r="D13" i="2" s="1"/>
  <c r="M15" i="2" s="1"/>
  <c r="C13" i="2" a="1"/>
  <c r="C13" i="2" s="1"/>
  <c r="B13" i="2" a="1"/>
  <c r="B13" i="2" s="1"/>
  <c r="A13" i="2" a="1"/>
  <c r="A13" i="2" s="1"/>
  <c r="P12" i="2" a="1"/>
  <c r="P12" i="2"/>
  <c r="O12" i="2" a="1"/>
  <c r="O12" i="2" s="1"/>
  <c r="N12" i="2" a="1"/>
  <c r="N12" i="2"/>
  <c r="L12" i="2" a="1"/>
  <c r="L12" i="2" s="1"/>
  <c r="J12" i="2" a="1"/>
  <c r="J12" i="2" s="1"/>
  <c r="T12" i="2" s="1"/>
  <c r="I12" i="2" a="1"/>
  <c r="I12" i="2"/>
  <c r="S12" i="2" s="1"/>
  <c r="G12" i="2" a="1"/>
  <c r="G12" i="2" s="1"/>
  <c r="Q12" i="2" s="1"/>
  <c r="E12" i="2" a="1"/>
  <c r="E12" i="2" s="1"/>
  <c r="D12" i="2" a="1"/>
  <c r="D12" i="2"/>
  <c r="M14" i="2" s="1"/>
  <c r="C12" i="2" a="1"/>
  <c r="C12" i="2" s="1"/>
  <c r="B12" i="2" a="1"/>
  <c r="B12" i="2"/>
  <c r="A12" i="2" a="1"/>
  <c r="A12" i="2" s="1"/>
  <c r="P11" i="2" a="1"/>
  <c r="P11" i="2" s="1"/>
  <c r="O11" i="2" a="1"/>
  <c r="O11" i="2" s="1"/>
  <c r="N11" i="2" a="1"/>
  <c r="N11" i="2" s="1"/>
  <c r="L11" i="2" a="1"/>
  <c r="L11" i="2"/>
  <c r="J11" i="2" a="1"/>
  <c r="J11" i="2" s="1"/>
  <c r="T11" i="2" s="1"/>
  <c r="I11" i="2" a="1"/>
  <c r="I11" i="2" s="1"/>
  <c r="S11" i="2" s="1"/>
  <c r="G11" i="2" a="1"/>
  <c r="G11" i="2"/>
  <c r="Q11" i="2" s="1"/>
  <c r="E11" i="2" a="1"/>
  <c r="E11" i="2" s="1"/>
  <c r="D11" i="2" a="1"/>
  <c r="D11" i="2" s="1"/>
  <c r="M13" i="2" s="1"/>
  <c r="C11" i="2" a="1"/>
  <c r="C11" i="2" s="1"/>
  <c r="B11" i="2" a="1"/>
  <c r="B11" i="2" s="1"/>
  <c r="A11" i="2" a="1"/>
  <c r="A11" i="2" s="1"/>
  <c r="P10" i="2" a="1"/>
  <c r="P10" i="2" s="1"/>
  <c r="O10" i="2" a="1"/>
  <c r="O10" i="2"/>
  <c r="N10" i="2" a="1"/>
  <c r="N10" i="2" s="1"/>
  <c r="L10" i="2" a="1"/>
  <c r="L10" i="2" s="1"/>
  <c r="J10" i="2" a="1"/>
  <c r="J10" i="2"/>
  <c r="T10" i="2" s="1"/>
  <c r="I10" i="2" a="1"/>
  <c r="I10" i="2" s="1"/>
  <c r="S10" i="2" s="1"/>
  <c r="G10" i="2" a="1"/>
  <c r="G10" i="2" s="1"/>
  <c r="Q10" i="2" s="1"/>
  <c r="E10" i="2" a="1"/>
  <c r="E10" i="2"/>
  <c r="D10" i="2" a="1"/>
  <c r="D10" i="2" s="1"/>
  <c r="M12" i="2" s="1"/>
  <c r="C10" i="2" a="1"/>
  <c r="C10" i="2"/>
  <c r="B10" i="2" a="1"/>
  <c r="B10" i="2" s="1"/>
  <c r="A10" i="2" a="1"/>
  <c r="A10" i="2"/>
  <c r="P9" i="2" a="1"/>
  <c r="P9" i="2" s="1"/>
  <c r="O9" i="2" a="1"/>
  <c r="O9" i="2" s="1"/>
  <c r="N9" i="2" a="1"/>
  <c r="N9" i="2" s="1"/>
  <c r="L9" i="2" a="1"/>
  <c r="L9" i="2" s="1"/>
  <c r="J9" i="2" a="1"/>
  <c r="J9" i="2" s="1"/>
  <c r="T9" i="2" s="1"/>
  <c r="I9" i="2" a="1"/>
  <c r="I9" i="2" s="1"/>
  <c r="S9" i="2" s="1"/>
  <c r="G9" i="2" a="1"/>
  <c r="G9" i="2" s="1"/>
  <c r="Q9" i="2" s="1"/>
  <c r="E9" i="2" a="1"/>
  <c r="E9" i="2" s="1"/>
  <c r="D9" i="2" a="1"/>
  <c r="D9" i="2" s="1"/>
  <c r="M11" i="2" s="1"/>
  <c r="C9" i="2" a="1"/>
  <c r="C9" i="2" s="1"/>
  <c r="B9" i="2" a="1"/>
  <c r="B9" i="2" s="1"/>
  <c r="A9" i="2" a="1"/>
  <c r="A9" i="2" s="1"/>
  <c r="H9" i="2" s="1"/>
  <c r="R9" i="2" s="1"/>
  <c r="P8" i="2" a="1"/>
  <c r="P8" i="2"/>
  <c r="O8" i="2" a="1"/>
  <c r="O8" i="2" s="1"/>
  <c r="N8" i="2" a="1"/>
  <c r="N8" i="2"/>
  <c r="L8" i="2" a="1"/>
  <c r="L8" i="2" s="1"/>
  <c r="J8" i="2" a="1"/>
  <c r="J8" i="2" s="1"/>
  <c r="T8" i="2" s="1"/>
  <c r="I8" i="2" a="1"/>
  <c r="I8" i="2"/>
  <c r="S8" i="2" s="1"/>
  <c r="G8" i="2" a="1"/>
  <c r="G8" i="2" s="1"/>
  <c r="Q8" i="2" s="1"/>
  <c r="E8" i="2" a="1"/>
  <c r="E8" i="2" s="1"/>
  <c r="D8" i="2" a="1"/>
  <c r="D8" i="2"/>
  <c r="M10" i="2" s="1"/>
  <c r="C8" i="2" a="1"/>
  <c r="C8" i="2" s="1"/>
  <c r="B8" i="2" a="1"/>
  <c r="B8" i="2"/>
  <c r="A8" i="2" a="1"/>
  <c r="A8" i="2" s="1"/>
  <c r="F8" i="2" s="1"/>
  <c r="P7" i="2" a="1"/>
  <c r="P7" i="2"/>
  <c r="O7" i="2" a="1"/>
  <c r="O7" i="2" s="1"/>
  <c r="N7" i="2" a="1"/>
  <c r="N7" i="2" s="1"/>
  <c r="L7" i="2" a="1"/>
  <c r="L7" i="2"/>
  <c r="J7" i="2" a="1"/>
  <c r="J7" i="2" s="1"/>
  <c r="T7" i="2" s="1"/>
  <c r="I7" i="2" a="1"/>
  <c r="I7" i="2" s="1"/>
  <c r="S7" i="2" s="1"/>
  <c r="G7" i="2" a="1"/>
  <c r="G7" i="2"/>
  <c r="Q7" i="2" s="1"/>
  <c r="E7" i="2" a="1"/>
  <c r="E7" i="2" s="1"/>
  <c r="D7" i="2" a="1"/>
  <c r="D7" i="2"/>
  <c r="M9" i="2" s="1"/>
  <c r="C7" i="2" a="1"/>
  <c r="C7" i="2" s="1"/>
  <c r="B7" i="2" a="1"/>
  <c r="B7" i="2" s="1"/>
  <c r="A7" i="2" a="1"/>
  <c r="A7" i="2" s="1"/>
  <c r="F7" i="2" s="1"/>
  <c r="P6" i="2" a="1"/>
  <c r="P6" i="2"/>
  <c r="O6" i="2" a="1"/>
  <c r="O6" i="2"/>
  <c r="N6" i="2" a="1"/>
  <c r="N6" i="2"/>
  <c r="L6" i="2" a="1"/>
  <c r="L6" i="2"/>
  <c r="J6" i="2" a="1"/>
  <c r="J6" i="2" s="1"/>
  <c r="T6" i="2" s="1"/>
  <c r="I6" i="2" a="1"/>
  <c r="I6" i="2" s="1"/>
  <c r="S6" i="2" s="1"/>
  <c r="G6" i="2" a="1"/>
  <c r="G6" i="2"/>
  <c r="Q6" i="2" s="1"/>
  <c r="E6" i="2" a="1"/>
  <c r="E6" i="2" s="1"/>
  <c r="D6" i="2" a="1"/>
  <c r="D6" i="2" s="1"/>
  <c r="M8" i="2" s="1"/>
  <c r="C6" i="2" a="1"/>
  <c r="C6" i="2" s="1"/>
  <c r="B6" i="2" a="1"/>
  <c r="B6" i="2" s="1"/>
  <c r="A6" i="2" a="1"/>
  <c r="A6" i="2" s="1"/>
  <c r="P5" i="2" a="1"/>
  <c r="P5" i="2"/>
  <c r="O5" i="2" a="1"/>
  <c r="O5" i="2"/>
  <c r="N5" i="2" a="1"/>
  <c r="N5" i="2"/>
  <c r="L5" i="2" a="1"/>
  <c r="L5" i="2" s="1"/>
  <c r="J5" i="2" a="1"/>
  <c r="J5" i="2"/>
  <c r="T5" i="2" s="1"/>
  <c r="I5" i="2" a="1"/>
  <c r="I5" i="2"/>
  <c r="S5" i="2" s="1"/>
  <c r="G5" i="2" a="1"/>
  <c r="G5" i="2" s="1"/>
  <c r="Q5" i="2" s="1"/>
  <c r="E5" i="2" a="1"/>
  <c r="E5" i="2"/>
  <c r="D5" i="2" a="1"/>
  <c r="D5" i="2"/>
  <c r="M7" i="2" s="1"/>
  <c r="C5" i="2" a="1"/>
  <c r="C5" i="2"/>
  <c r="B5" i="2" a="1"/>
  <c r="B5" i="2"/>
  <c r="A5" i="2" a="1"/>
  <c r="A5" i="2"/>
  <c r="K5" i="2" s="1"/>
  <c r="U5" i="2" s="1"/>
  <c r="P4" i="2" a="1"/>
  <c r="P4" i="2" s="1"/>
  <c r="O4" i="2" a="1"/>
  <c r="O4" i="2" s="1"/>
  <c r="N4" i="2" a="1"/>
  <c r="N4" i="2" s="1"/>
  <c r="L4" i="2" a="1"/>
  <c r="L4" i="2"/>
  <c r="J4" i="2" a="1"/>
  <c r="J4" i="2" s="1"/>
  <c r="T4" i="2" s="1"/>
  <c r="I4" i="2" a="1"/>
  <c r="I4" i="2" s="1"/>
  <c r="S4" i="2" s="1"/>
  <c r="G4" i="2" a="1"/>
  <c r="G4" i="2"/>
  <c r="Q4" i="2" s="1"/>
  <c r="E4" i="2" a="1"/>
  <c r="E4" i="2" s="1"/>
  <c r="D4" i="2" a="1"/>
  <c r="D4" i="2" s="1"/>
  <c r="M6" i="2" s="1"/>
  <c r="C4" i="2" a="1"/>
  <c r="C4" i="2" s="1"/>
  <c r="B4" i="2" a="1"/>
  <c r="B4" i="2" s="1"/>
  <c r="A4" i="2" a="1"/>
  <c r="A4" i="2" s="1"/>
  <c r="N3" i="2" a="1"/>
  <c r="N3" i="2" s="1"/>
  <c r="J3" i="2" a="1"/>
  <c r="J3" i="2" s="1"/>
  <c r="T3" i="2" s="1"/>
  <c r="I3" i="2" a="1"/>
  <c r="I3" i="2" s="1"/>
  <c r="G3" i="2" a="1"/>
  <c r="G3" i="2"/>
  <c r="E3" i="2" a="1"/>
  <c r="E3" i="2" s="1"/>
  <c r="D3" i="2" a="1"/>
  <c r="D3" i="2" s="1"/>
  <c r="C3" i="2" a="1"/>
  <c r="C3" i="2" s="1"/>
  <c r="B3" i="2" a="1"/>
  <c r="B3" i="2" s="1"/>
  <c r="A3" i="2"/>
  <c r="K3" i="2" s="1"/>
  <c r="R16" i="1"/>
  <c r="P16" i="1"/>
  <c r="N16" i="1"/>
  <c r="R15" i="1"/>
  <c r="P15" i="1"/>
  <c r="N15" i="1"/>
  <c r="R14" i="1"/>
  <c r="P14" i="1"/>
  <c r="N14" i="1"/>
  <c r="R13" i="1"/>
  <c r="P13" i="1"/>
  <c r="N13" i="1"/>
  <c r="R12" i="1"/>
  <c r="P12" i="1"/>
  <c r="N12" i="1"/>
  <c r="M12" i="1"/>
  <c r="K12" i="1"/>
  <c r="R11" i="1"/>
  <c r="P11" i="1"/>
  <c r="N11" i="1"/>
  <c r="M11" i="1"/>
  <c r="K11" i="1"/>
  <c r="R10" i="1"/>
  <c r="P10" i="1"/>
  <c r="N10" i="1"/>
  <c r="M10" i="1"/>
  <c r="K10" i="1"/>
  <c r="R9" i="1"/>
  <c r="P9" i="1"/>
  <c r="N9" i="1"/>
  <c r="M9" i="1"/>
  <c r="K9" i="1"/>
  <c r="R8" i="1"/>
  <c r="P8" i="1"/>
  <c r="N8" i="1"/>
  <c r="M8" i="1"/>
  <c r="K8" i="1"/>
  <c r="R7" i="1"/>
  <c r="P7" i="1"/>
  <c r="N7" i="1"/>
  <c r="M7" i="1"/>
  <c r="K7" i="1"/>
  <c r="R6" i="1"/>
  <c r="P6" i="1"/>
  <c r="N6" i="1"/>
  <c r="M6" i="1"/>
  <c r="K6" i="1"/>
  <c r="R5" i="1"/>
  <c r="P5" i="1"/>
  <c r="N5" i="1"/>
  <c r="L4" i="3" s="1" a="1"/>
  <c r="L4" i="3" s="1"/>
  <c r="M5" i="1"/>
  <c r="K5" i="1"/>
  <c r="L3" i="2" s="1" a="1"/>
  <c r="L3" i="2" s="1"/>
  <c r="E1" i="2" s="1" a="1"/>
  <c r="E1" i="2" s="1"/>
  <c r="R4" i="1"/>
  <c r="P4" i="1"/>
  <c r="N4" i="1"/>
  <c r="M4" i="1"/>
  <c r="K4" i="1"/>
  <c r="R3" i="1"/>
  <c r="P3" i="1"/>
  <c r="N3" i="1"/>
  <c r="M3" i="1"/>
  <c r="O3" i="2" s="1"/>
  <c r="K3" i="1"/>
  <c r="R2" i="1"/>
  <c r="P2" i="1"/>
  <c r="N2" i="1"/>
  <c r="L3" i="3" s="1" a="1"/>
  <c r="L3" i="3" s="1"/>
  <c r="M2" i="1"/>
  <c r="K2" i="1"/>
  <c r="U1" i="1"/>
  <c r="Q16" i="1" s="1"/>
  <c r="K4" i="2" l="1"/>
  <c r="U4" i="2" s="1"/>
  <c r="F4" i="2"/>
  <c r="H4" i="2"/>
  <c r="R4" i="2" s="1"/>
  <c r="K6" i="2"/>
  <c r="U6" i="2" s="1"/>
  <c r="F6" i="2"/>
  <c r="H6" i="2"/>
  <c r="R6" i="2" s="1"/>
  <c r="K11" i="2"/>
  <c r="U11" i="2" s="1"/>
  <c r="F11" i="2"/>
  <c r="H11" i="2"/>
  <c r="R11" i="2" s="1"/>
  <c r="K15" i="2"/>
  <c r="U15" i="2" s="1"/>
  <c r="F15" i="2"/>
  <c r="H15" i="2"/>
  <c r="R15" i="2" s="1"/>
  <c r="H3" i="2"/>
  <c r="R3" i="2" s="1"/>
  <c r="O2" i="1"/>
  <c r="S2" i="1"/>
  <c r="O3" i="1"/>
  <c r="S3" i="1"/>
  <c r="U3" i="2" s="1"/>
  <c r="O4" i="1"/>
  <c r="S4" i="1"/>
  <c r="O5" i="1"/>
  <c r="S5" i="1"/>
  <c r="O6" i="1"/>
  <c r="S6" i="1"/>
  <c r="O7" i="1"/>
  <c r="S7" i="1"/>
  <c r="O8" i="1"/>
  <c r="S8" i="1"/>
  <c r="O9" i="1"/>
  <c r="S9" i="1"/>
  <c r="O10" i="1"/>
  <c r="S10" i="1"/>
  <c r="O11" i="1"/>
  <c r="S11" i="1"/>
  <c r="O12" i="1"/>
  <c r="S12" i="1"/>
  <c r="Q13" i="1"/>
  <c r="O14" i="1"/>
  <c r="M8" i="3" s="1"/>
  <c r="S14" i="1"/>
  <c r="Q15" i="1"/>
  <c r="O16" i="1"/>
  <c r="S16" i="1"/>
  <c r="F3" i="2"/>
  <c r="M3" i="2" s="1"/>
  <c r="P3" i="2" a="1"/>
  <c r="P3" i="2" s="1"/>
  <c r="H5" i="2"/>
  <c r="R5" i="2" s="1"/>
  <c r="H8" i="2"/>
  <c r="R8" i="2" s="1"/>
  <c r="K8" i="2"/>
  <c r="U8" i="2" s="1"/>
  <c r="K10" i="2"/>
  <c r="U10" i="2" s="1"/>
  <c r="F10" i="2"/>
  <c r="H10" i="2"/>
  <c r="R10" i="2" s="1"/>
  <c r="J8" i="5"/>
  <c r="F8" i="5"/>
  <c r="I8" i="5"/>
  <c r="E8" i="5"/>
  <c r="H8" i="5"/>
  <c r="D8" i="5"/>
  <c r="C8" i="5"/>
  <c r="G8" i="5"/>
  <c r="F5" i="2"/>
  <c r="M5" i="2" s="1"/>
  <c r="H7" i="2"/>
  <c r="R7" i="2" s="1"/>
  <c r="K7" i="2"/>
  <c r="U7" i="2" s="1"/>
  <c r="K9" i="2"/>
  <c r="U9" i="2" s="1"/>
  <c r="F9" i="2"/>
  <c r="H12" i="2"/>
  <c r="R12" i="2" s="1"/>
  <c r="K12" i="2"/>
  <c r="U12" i="2" s="1"/>
  <c r="F12" i="2"/>
  <c r="H16" i="2"/>
  <c r="R16" i="2" s="1"/>
  <c r="K16" i="2"/>
  <c r="U16" i="2" s="1"/>
  <c r="F16" i="2"/>
  <c r="K19" i="2"/>
  <c r="U19" i="2" s="1"/>
  <c r="F19" i="2"/>
  <c r="H19" i="2"/>
  <c r="R19" i="2" s="1"/>
  <c r="K21" i="2"/>
  <c r="U21" i="2" s="1"/>
  <c r="F21" i="2"/>
  <c r="H21" i="2"/>
  <c r="R21" i="2" s="1"/>
  <c r="G14" i="5"/>
  <c r="P11" i="3"/>
  <c r="P21" i="3"/>
  <c r="N22" i="3"/>
  <c r="N3" i="3"/>
  <c r="Q2" i="1"/>
  <c r="Q3" i="1"/>
  <c r="O6" i="3" s="1"/>
  <c r="Q4" i="1"/>
  <c r="Q5" i="1"/>
  <c r="Q6" i="1"/>
  <c r="Q7" i="1"/>
  <c r="Q8" i="1"/>
  <c r="Q9" i="1"/>
  <c r="Q10" i="1"/>
  <c r="Q11" i="1"/>
  <c r="Q12" i="1"/>
  <c r="O13" i="1"/>
  <c r="S13" i="1"/>
  <c r="Q14" i="1"/>
  <c r="O15" i="1"/>
  <c r="S15" i="1"/>
  <c r="K13" i="2"/>
  <c r="U13" i="2" s="1"/>
  <c r="F13" i="2"/>
  <c r="H13" i="2"/>
  <c r="R13" i="2" s="1"/>
  <c r="K17" i="2"/>
  <c r="U17" i="2" s="1"/>
  <c r="F17" i="2"/>
  <c r="H17" i="2"/>
  <c r="R17" i="2" s="1"/>
  <c r="K22" i="2"/>
  <c r="U22" i="2" s="1"/>
  <c r="F22" i="2"/>
  <c r="H22" i="2"/>
  <c r="R22" i="2" s="1"/>
  <c r="D14" i="5"/>
  <c r="H14" i="5"/>
  <c r="Q3" i="3"/>
  <c r="P8" i="3"/>
  <c r="G8" i="3"/>
  <c r="Q8" i="3"/>
  <c r="O8" i="3"/>
  <c r="N8" i="3"/>
  <c r="H8" i="3"/>
  <c r="P12" i="3"/>
  <c r="G12" i="3"/>
  <c r="Q12" i="3"/>
  <c r="O12" i="3"/>
  <c r="N12" i="3"/>
  <c r="M12" i="3"/>
  <c r="H12" i="3"/>
  <c r="N20" i="3"/>
  <c r="H14" i="2"/>
  <c r="R14" i="2" s="1"/>
  <c r="H18" i="2"/>
  <c r="R18" i="2" s="1"/>
  <c r="E14" i="5"/>
  <c r="I14" i="5"/>
  <c r="N4" i="3"/>
  <c r="H4" i="3"/>
  <c r="Q4" i="3"/>
  <c r="M4" i="3"/>
  <c r="G4" i="3"/>
  <c r="I4" i="3" s="1"/>
  <c r="P4" i="3"/>
  <c r="Q11" i="3"/>
  <c r="P15" i="3"/>
  <c r="N18" i="3"/>
  <c r="F14" i="2"/>
  <c r="F18" i="2"/>
  <c r="F14" i="5"/>
  <c r="J14" i="5"/>
  <c r="N6" i="3"/>
  <c r="Q6" i="3"/>
  <c r="M6" i="3"/>
  <c r="H6" i="3"/>
  <c r="P6" i="3"/>
  <c r="G6" i="3"/>
  <c r="I6" i="3" s="1"/>
  <c r="I8" i="3"/>
  <c r="I12" i="3"/>
  <c r="K24" i="2"/>
  <c r="U24" i="2" s="1"/>
  <c r="F24" i="2"/>
  <c r="O4" i="3"/>
  <c r="P5" i="3"/>
  <c r="G5" i="3"/>
  <c r="I5" i="3" s="1"/>
  <c r="O5" i="3"/>
  <c r="N5" i="3"/>
  <c r="Q16" i="3"/>
  <c r="M16" i="3"/>
  <c r="H16" i="3"/>
  <c r="P16" i="3"/>
  <c r="G16" i="3"/>
  <c r="I16" i="3" s="1"/>
  <c r="O16" i="3"/>
  <c r="O19" i="3"/>
  <c r="N19" i="3"/>
  <c r="Q19" i="3"/>
  <c r="M19" i="3"/>
  <c r="H19" i="3"/>
  <c r="G19" i="3"/>
  <c r="H3" i="3"/>
  <c r="I3" i="3" s="1"/>
  <c r="O3" i="3"/>
  <c r="N7" i="3"/>
  <c r="P7" i="3"/>
  <c r="N9" i="3"/>
  <c r="G9" i="3"/>
  <c r="I9" i="3" s="1"/>
  <c r="M9" i="3"/>
  <c r="P10" i="3"/>
  <c r="G10" i="3"/>
  <c r="I10" i="3" s="1"/>
  <c r="Q10" i="3"/>
  <c r="N13" i="3"/>
  <c r="G13" i="3"/>
  <c r="I13" i="3" s="1"/>
  <c r="M13" i="3"/>
  <c r="P14" i="3"/>
  <c r="G14" i="3"/>
  <c r="I14" i="3" s="1"/>
  <c r="Q14" i="3"/>
  <c r="M15" i="3"/>
  <c r="O17" i="3"/>
  <c r="N17" i="3"/>
  <c r="Q17" i="3"/>
  <c r="M17" i="3"/>
  <c r="H17" i="3"/>
  <c r="G17" i="3"/>
  <c r="I17" i="3" s="1"/>
  <c r="P19" i="3"/>
  <c r="Q22" i="3"/>
  <c r="M22" i="3"/>
  <c r="H22" i="3"/>
  <c r="P22" i="3"/>
  <c r="G22" i="3"/>
  <c r="I22" i="3" s="1"/>
  <c r="O22" i="3"/>
  <c r="Q24" i="3"/>
  <c r="M24" i="3"/>
  <c r="H24" i="3"/>
  <c r="P24" i="3"/>
  <c r="G24" i="3"/>
  <c r="I24" i="3" s="1"/>
  <c r="O24" i="3"/>
  <c r="P3" i="3"/>
  <c r="Q7" i="3"/>
  <c r="H9" i="3"/>
  <c r="O9" i="3"/>
  <c r="H10" i="3"/>
  <c r="M10" i="3"/>
  <c r="H13" i="3"/>
  <c r="O13" i="3"/>
  <c r="H14" i="3"/>
  <c r="M14" i="3"/>
  <c r="P17" i="3"/>
  <c r="Q20" i="3"/>
  <c r="M20" i="3"/>
  <c r="H20" i="3"/>
  <c r="P20" i="3"/>
  <c r="G20" i="3"/>
  <c r="I20" i="3" s="1"/>
  <c r="O20" i="3"/>
  <c r="O23" i="3"/>
  <c r="N23" i="3"/>
  <c r="Q23" i="3"/>
  <c r="M23" i="3"/>
  <c r="H23" i="3"/>
  <c r="G23" i="3"/>
  <c r="I23" i="3" s="1"/>
  <c r="M3" i="3"/>
  <c r="G7" i="3"/>
  <c r="I7" i="3" s="1"/>
  <c r="M7" i="3"/>
  <c r="P9" i="3"/>
  <c r="N10" i="3"/>
  <c r="N11" i="3"/>
  <c r="G11" i="3"/>
  <c r="I11" i="3" s="1"/>
  <c r="M11" i="3"/>
  <c r="P13" i="3"/>
  <c r="N14" i="3"/>
  <c r="O15" i="3"/>
  <c r="N15" i="3"/>
  <c r="G15" i="3"/>
  <c r="I15" i="3" s="1"/>
  <c r="Q15" i="3"/>
  <c r="N16" i="3"/>
  <c r="Q18" i="3"/>
  <c r="M18" i="3"/>
  <c r="H18" i="3"/>
  <c r="P18" i="3"/>
  <c r="G18" i="3"/>
  <c r="I18" i="3" s="1"/>
  <c r="O18" i="3"/>
  <c r="I19" i="3"/>
  <c r="O21" i="3"/>
  <c r="N21" i="3"/>
  <c r="Q21" i="3"/>
  <c r="M21" i="3"/>
  <c r="H21" i="3"/>
  <c r="G21" i="3"/>
  <c r="I21" i="3" s="1"/>
  <c r="P23" i="3"/>
  <c r="N24" i="3"/>
  <c r="E1" i="3" l="1" a="1"/>
  <c r="E1" i="3" s="1"/>
  <c r="O14" i="3"/>
  <c r="O11" i="3"/>
  <c r="O10" i="3"/>
  <c r="O7" i="3"/>
  <c r="M4" i="2"/>
  <c r="Q13" i="3"/>
  <c r="Q9" i="3"/>
  <c r="Q5" i="3"/>
  <c r="M5" i="3"/>
  <c r="S3" i="2"/>
  <c r="Q3" i="2"/>
</calcChain>
</file>

<file path=xl/sharedStrings.xml><?xml version="1.0" encoding="utf-8"?>
<sst xmlns="http://schemas.openxmlformats.org/spreadsheetml/2006/main" count="159" uniqueCount="94">
  <si>
    <t>应收账款明细</t>
  </si>
  <si>
    <t>产品编号：人事管理008</t>
  </si>
  <si>
    <t>日  期</t>
  </si>
  <si>
    <t>公司名称</t>
  </si>
  <si>
    <t>业务员</t>
  </si>
  <si>
    <t>开单日期</t>
  </si>
  <si>
    <t>订单单号</t>
  </si>
  <si>
    <t>开单  编号</t>
  </si>
  <si>
    <t>期初应收  款</t>
  </si>
  <si>
    <t>本期产生的应收款</t>
  </si>
  <si>
    <t>款项收回月份</t>
  </si>
  <si>
    <t>款项收  回金额</t>
  </si>
  <si>
    <t>期末未  收金额</t>
  </si>
  <si>
    <t>收款期</t>
  </si>
  <si>
    <t>到期日期</t>
  </si>
  <si>
    <t>是否到期</t>
  </si>
  <si>
    <t>未到期 金  额</t>
  </si>
  <si>
    <t>0～30</t>
  </si>
  <si>
    <t>30～60</t>
  </si>
  <si>
    <t>60～90</t>
  </si>
  <si>
    <t>90天以上</t>
  </si>
  <si>
    <t>A公司</t>
  </si>
  <si>
    <t>张三</t>
  </si>
  <si>
    <t>07-01-02</t>
  </si>
  <si>
    <t>01-102</t>
  </si>
  <si>
    <t>B公司</t>
  </si>
  <si>
    <t>李四</t>
  </si>
  <si>
    <t>07-01-28</t>
  </si>
  <si>
    <t>07-01-29</t>
  </si>
  <si>
    <t>01-103</t>
  </si>
  <si>
    <t>木六</t>
  </si>
  <si>
    <t>07-01-30</t>
  </si>
  <si>
    <t>01-104</t>
  </si>
  <si>
    <t>D公司</t>
  </si>
  <si>
    <t>07-02-08</t>
  </si>
  <si>
    <t>C公司</t>
  </si>
  <si>
    <t>任6</t>
  </si>
  <si>
    <t>07-02-09</t>
  </si>
  <si>
    <t>02-105</t>
  </si>
  <si>
    <t>邹城</t>
  </si>
  <si>
    <t>07-03-09</t>
  </si>
  <si>
    <t>03-105</t>
  </si>
  <si>
    <t>王五</t>
  </si>
  <si>
    <t>07-04-10</t>
  </si>
  <si>
    <t>04-106</t>
  </si>
  <si>
    <t>武5</t>
  </si>
  <si>
    <t>07-04-11</t>
  </si>
  <si>
    <t>04-107</t>
  </si>
  <si>
    <t>C大</t>
  </si>
  <si>
    <t>07-04-12</t>
  </si>
  <si>
    <t>04-108</t>
  </si>
  <si>
    <t>济南</t>
  </si>
  <si>
    <t>潘五</t>
  </si>
  <si>
    <t>07-04-13</t>
  </si>
  <si>
    <t>04-109</t>
  </si>
  <si>
    <t>月份</t>
  </si>
  <si>
    <t>开单编号</t>
  </si>
  <si>
    <t>期  初  应收款</t>
  </si>
  <si>
    <t>载止本月  累计应收</t>
  </si>
  <si>
    <t>收款  月份</t>
  </si>
  <si>
    <t>本期收  回金额</t>
  </si>
  <si>
    <t>载止本月  累计已收回</t>
  </si>
  <si>
    <r>
      <t>载止本月累计</t>
    </r>
    <r>
      <rPr>
        <sz val="10.5"/>
        <color indexed="48"/>
        <rFont val="微软雅黑"/>
        <family val="2"/>
        <charset val="134"/>
      </rPr>
      <t xml:space="preserve">  未收回金额</t>
    </r>
  </si>
  <si>
    <t>收款期限</t>
  </si>
  <si>
    <t>未到期  金  额</t>
  </si>
  <si>
    <t>C一</t>
  </si>
  <si>
    <t>计划完成率</t>
  </si>
  <si>
    <t>部门</t>
  </si>
  <si>
    <t>销售一部</t>
  </si>
  <si>
    <t>销售二部</t>
  </si>
  <si>
    <t>销售三部</t>
  </si>
  <si>
    <t>期初余额</t>
  </si>
  <si>
    <t>本期销售</t>
  </si>
  <si>
    <t>本期收款</t>
  </si>
  <si>
    <t>累计余额</t>
  </si>
  <si>
    <t>累计收款</t>
  </si>
  <si>
    <t>年计划</t>
  </si>
  <si>
    <t>年计划完成</t>
  </si>
  <si>
    <t>累计排名</t>
  </si>
  <si>
    <r>
      <t>客</t>
    </r>
    <r>
      <rPr>
        <sz val="12"/>
        <rFont val="微软雅黑"/>
        <family val="2"/>
        <charset val="134"/>
      </rPr>
      <t>户</t>
    </r>
  </si>
  <si>
    <t>累计应收</t>
  </si>
  <si>
    <t>累计已收回</t>
  </si>
  <si>
    <t>未收回金额</t>
  </si>
  <si>
    <t>聊城</t>
  </si>
  <si>
    <r>
      <t>B</t>
    </r>
    <r>
      <rPr>
        <sz val="10"/>
        <rFont val="微软雅黑"/>
        <family val="2"/>
        <charset val="134"/>
      </rPr>
      <t>公司</t>
    </r>
  </si>
  <si>
    <r>
      <t>C</t>
    </r>
    <r>
      <rPr>
        <sz val="10"/>
        <rFont val="微软雅黑"/>
        <family val="2"/>
        <charset val="134"/>
      </rPr>
      <t>公司</t>
    </r>
  </si>
  <si>
    <r>
      <t>D</t>
    </r>
    <r>
      <rPr>
        <sz val="10"/>
        <rFont val="微软雅黑"/>
        <family val="2"/>
        <charset val="134"/>
      </rPr>
      <t>公司</t>
    </r>
  </si>
  <si>
    <r>
      <t>E</t>
    </r>
    <r>
      <rPr>
        <sz val="10"/>
        <rFont val="微软雅黑"/>
        <family val="2"/>
        <charset val="134"/>
      </rPr>
      <t>公司</t>
    </r>
  </si>
  <si>
    <r>
      <t>F</t>
    </r>
    <r>
      <rPr>
        <sz val="10"/>
        <rFont val="微软雅黑"/>
        <family val="2"/>
        <charset val="134"/>
      </rPr>
      <t>公司</t>
    </r>
  </si>
  <si>
    <r>
      <t>G</t>
    </r>
    <r>
      <rPr>
        <sz val="10"/>
        <rFont val="微软雅黑"/>
        <family val="2"/>
        <charset val="134"/>
      </rPr>
      <t>公司</t>
    </r>
  </si>
  <si>
    <r>
      <t>H</t>
    </r>
    <r>
      <rPr>
        <sz val="10"/>
        <rFont val="微软雅黑"/>
        <family val="2"/>
        <charset val="134"/>
      </rPr>
      <t>公司</t>
    </r>
  </si>
  <si>
    <r>
      <t>J</t>
    </r>
    <r>
      <rPr>
        <sz val="10"/>
        <rFont val="微软雅黑"/>
        <family val="2"/>
        <charset val="134"/>
      </rPr>
      <t>公司</t>
    </r>
  </si>
  <si>
    <r>
      <t>L</t>
    </r>
    <r>
      <rPr>
        <sz val="10"/>
        <rFont val="微软雅黑"/>
        <family val="2"/>
        <charset val="134"/>
      </rPr>
      <t>公司</t>
    </r>
  </si>
  <si>
    <r>
      <t>K</t>
    </r>
    <r>
      <rPr>
        <sz val="10"/>
        <rFont val="微软雅黑"/>
        <family val="2"/>
        <charset val="134"/>
      </rPr>
      <t>公司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</si>
</sst>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8" formatCode="#,##0.00_);[Red]\(#,##0.00\)"/>
    <numFmt numFmtId="179" formatCode="0&quot;月&quot;"/>
    <numFmt numFmtId="180" formatCode="#,##0.00_ "/>
    <numFmt numFmtId="181" formatCode="0.00_ "/>
    <numFmt numFmtId="182" formatCode="00&quot;天&quot;"/>
    <numFmt numFmtId="183" formatCode="0.0%"/>
    <numFmt numFmtId="184" formatCode="0_ "/>
    <numFmt numFmtId="185" formatCode="0&quot;天&quot;"/>
    <numFmt numFmtId="186" formatCode="00&quot;月&quot;"/>
  </numFmts>
  <fonts count="30" x14ac:knownFonts="1">
    <font>
      <sz val="12"/>
      <name val="新細明體"/>
      <charset val="136"/>
    </font>
    <font>
      <sz val="10.5"/>
      <name val="微软雅黑"/>
      <family val="2"/>
      <charset val="134"/>
    </font>
    <font>
      <sz val="12"/>
      <name val="微软雅黑"/>
      <family val="2"/>
      <charset val="134"/>
    </font>
    <font>
      <sz val="12"/>
      <color indexed="9"/>
      <name val="微软雅黑"/>
      <family val="2"/>
      <charset val="134"/>
    </font>
    <font>
      <sz val="14"/>
      <color indexed="12"/>
      <name val="微软雅黑"/>
      <family val="2"/>
      <charset val="134"/>
    </font>
    <font>
      <sz val="10"/>
      <name val="微软雅黑"/>
      <family val="2"/>
      <charset val="134"/>
    </font>
    <font>
      <sz val="10.5"/>
      <color indexed="9"/>
      <name val="微软雅黑"/>
      <family val="2"/>
      <charset val="134"/>
    </font>
    <font>
      <sz val="12"/>
      <color indexed="9"/>
      <name val="微软雅黑"/>
      <family val="2"/>
      <charset val="134"/>
    </font>
    <font>
      <sz val="10.5"/>
      <color indexed="48"/>
      <name val="微软雅黑"/>
      <family val="2"/>
      <charset val="134"/>
    </font>
    <font>
      <sz val="10"/>
      <color indexed="48"/>
      <name val="微软雅黑"/>
      <family val="2"/>
      <charset val="134"/>
    </font>
    <font>
      <sz val="10.5"/>
      <color indexed="60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sz val="12"/>
      <name val="微软雅黑"/>
      <family val="2"/>
      <charset val="134"/>
    </font>
    <font>
      <b/>
      <sz val="28"/>
      <color theme="0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indexed="10"/>
      <name val="微软雅黑"/>
      <family val="2"/>
      <charset val="134"/>
    </font>
    <font>
      <sz val="11"/>
      <name val="微软雅黑"/>
      <family val="2"/>
      <charset val="134"/>
    </font>
    <font>
      <sz val="10"/>
      <color indexed="48"/>
      <name val="微软雅黑"/>
      <family val="2"/>
      <charset val="134"/>
    </font>
    <font>
      <sz val="12"/>
      <color indexed="60"/>
      <name val="微软雅黑"/>
      <family val="2"/>
      <charset val="134"/>
    </font>
    <font>
      <b/>
      <sz val="14"/>
      <name val="微软雅黑"/>
      <family val="2"/>
      <charset val="134"/>
    </font>
    <font>
      <b/>
      <sz val="36"/>
      <name val="微软雅黑"/>
      <family val="2"/>
      <charset val="134"/>
    </font>
    <font>
      <b/>
      <sz val="14"/>
      <color indexed="62"/>
      <name val="微软雅黑"/>
      <family val="2"/>
      <charset val="134"/>
    </font>
    <font>
      <b/>
      <sz val="14"/>
      <color rgb="FFFF0000"/>
      <name val="微软雅黑"/>
      <family val="2"/>
      <charset val="134"/>
    </font>
    <font>
      <sz val="12"/>
      <color indexed="62"/>
      <name val="微软雅黑"/>
      <family val="2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23"/>
      </left>
      <right style="thin">
        <color indexed="23"/>
      </right>
      <top style="medium">
        <color indexed="23"/>
      </top>
      <bottom style="double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23"/>
      </top>
      <bottom style="double">
        <color indexed="2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/>
      <bottom style="thin">
        <color auto="1"/>
      </bottom>
      <diagonal/>
    </border>
    <border>
      <left style="thin">
        <color auto="1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medium">
        <color indexed="23"/>
      </right>
      <top style="medium">
        <color indexed="23"/>
      </top>
      <bottom style="double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55"/>
      </left>
      <right style="thin">
        <color auto="1"/>
      </right>
      <top/>
      <bottom style="thin">
        <color indexed="55"/>
      </bottom>
      <diagonal/>
    </border>
    <border>
      <left style="medium">
        <color indexed="23"/>
      </left>
      <right style="medium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55"/>
      </left>
      <right style="thin">
        <color auto="1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auto="1"/>
      </bottom>
      <diagonal/>
    </border>
    <border>
      <left style="thin">
        <color indexed="23"/>
      </left>
      <right/>
      <top style="medium">
        <color indexed="23"/>
      </top>
      <bottom style="double">
        <color indexed="23"/>
      </bottom>
      <diagonal/>
    </border>
    <border>
      <left style="thin">
        <color indexed="63"/>
      </left>
      <right style="thin">
        <color indexed="23"/>
      </right>
      <top style="medium">
        <color indexed="23"/>
      </top>
      <bottom style="double">
        <color indexed="23"/>
      </bottom>
      <diagonal/>
    </border>
    <border>
      <left style="thin">
        <color auto="1"/>
      </left>
      <right style="thin">
        <color indexed="55"/>
      </right>
      <top style="double">
        <color indexed="23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double">
        <color indexed="23"/>
      </top>
      <bottom style="thin">
        <color indexed="55"/>
      </bottom>
      <diagonal/>
    </border>
    <border>
      <left style="thin">
        <color indexed="55"/>
      </left>
      <right style="thin">
        <color auto="1"/>
      </right>
      <top style="double">
        <color indexed="23"/>
      </top>
      <bottom style="thin">
        <color indexed="55"/>
      </bottom>
      <diagonal/>
    </border>
    <border>
      <left style="thin">
        <color auto="1"/>
      </left>
      <right style="thin">
        <color indexed="55"/>
      </right>
      <top style="thin">
        <color indexed="55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auto="1"/>
      </bottom>
      <diagonal/>
    </border>
    <border>
      <left style="thin">
        <color indexed="55"/>
      </left>
      <right style="thin">
        <color auto="1"/>
      </right>
      <top style="thin">
        <color indexed="55"/>
      </top>
      <bottom style="thin">
        <color auto="1"/>
      </bottom>
      <diagonal/>
    </border>
    <border>
      <left style="medium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23"/>
      </top>
      <bottom/>
      <diagonal/>
    </border>
    <border>
      <left style="thin">
        <color indexed="23"/>
      </left>
      <right style="medium">
        <color indexed="23"/>
      </right>
      <top style="medium">
        <color indexed="23"/>
      </top>
      <bottom/>
      <diagonal/>
    </border>
    <border>
      <left style="medium">
        <color indexed="23"/>
      </left>
      <right style="thin">
        <color indexed="23"/>
      </right>
      <top style="medium">
        <color indexed="23"/>
      </top>
      <bottom/>
      <diagonal/>
    </border>
  </borders>
  <cellStyleXfs count="4">
    <xf numFmtId="0" fontId="0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/>
  </cellStyleXfs>
  <cellXfs count="133">
    <xf numFmtId="0" fontId="0" fillId="0" borderId="0" xfId="0"/>
    <xf numFmtId="0" fontId="1" fillId="2" borderId="0" xfId="0" applyFont="1" applyFill="1" applyProtection="1">
      <protection hidden="1"/>
    </xf>
    <xf numFmtId="0" fontId="2" fillId="0" borderId="0" xfId="0" applyFont="1" applyProtection="1"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center"/>
      <protection locked="0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Protection="1">
      <protection hidden="1"/>
    </xf>
    <xf numFmtId="0" fontId="6" fillId="5" borderId="3" xfId="0" applyFont="1" applyFill="1" applyBorder="1" applyAlignment="1" applyProtection="1">
      <alignment horizontal="center" vertical="center" wrapText="1"/>
      <protection hidden="1"/>
    </xf>
    <xf numFmtId="0" fontId="8" fillId="5" borderId="3" xfId="0" applyFont="1" applyFill="1" applyBorder="1" applyAlignment="1" applyProtection="1">
      <alignment horizontal="center" vertical="center" wrapText="1"/>
      <protection hidden="1"/>
    </xf>
    <xf numFmtId="14" fontId="5" fillId="0" borderId="4" xfId="0" applyNumberFormat="1" applyFont="1" applyBorder="1" applyAlignment="1" applyProtection="1">
      <alignment horizontal="center"/>
      <protection hidden="1"/>
    </xf>
    <xf numFmtId="178" fontId="5" fillId="0" borderId="4" xfId="0" applyNumberFormat="1" applyFont="1" applyBorder="1" applyAlignment="1" applyProtection="1">
      <alignment horizontal="right"/>
      <protection hidden="1"/>
    </xf>
    <xf numFmtId="180" fontId="9" fillId="4" borderId="4" xfId="0" applyNumberFormat="1" applyFont="1" applyFill="1" applyBorder="1" applyAlignment="1" applyProtection="1">
      <alignment horizontal="right"/>
      <protection hidden="1"/>
    </xf>
    <xf numFmtId="14" fontId="5" fillId="0" borderId="5" xfId="0" applyNumberFormat="1" applyFont="1" applyBorder="1" applyAlignment="1" applyProtection="1">
      <alignment horizontal="center"/>
      <protection hidden="1"/>
    </xf>
    <xf numFmtId="178" fontId="5" fillId="0" borderId="5" xfId="0" applyNumberFormat="1" applyFont="1" applyBorder="1" applyAlignment="1" applyProtection="1">
      <alignment horizontal="right"/>
      <protection hidden="1"/>
    </xf>
    <xf numFmtId="180" fontId="9" fillId="4" borderId="5" xfId="0" applyNumberFormat="1" applyFont="1" applyFill="1" applyBorder="1" applyAlignment="1" applyProtection="1">
      <alignment horizontal="right"/>
      <protection hidden="1"/>
    </xf>
    <xf numFmtId="178" fontId="5" fillId="0" borderId="5" xfId="0" applyNumberFormat="1" applyFont="1" applyBorder="1" applyAlignment="1" applyProtection="1">
      <alignment horizontal="center"/>
      <protection hidden="1"/>
    </xf>
    <xf numFmtId="0" fontId="10" fillId="6" borderId="3" xfId="0" applyFont="1" applyFill="1" applyBorder="1" applyAlignment="1" applyProtection="1">
      <alignment horizontal="center" vertical="center" wrapText="1"/>
      <protection hidden="1"/>
    </xf>
    <xf numFmtId="181" fontId="11" fillId="0" borderId="3" xfId="2" applyNumberFormat="1" applyFont="1" applyFill="1" applyBorder="1" applyAlignment="1" applyProtection="1">
      <alignment horizontal="center" vertical="center" wrapText="1"/>
      <protection hidden="1"/>
    </xf>
    <xf numFmtId="180" fontId="9" fillId="7" borderId="4" xfId="0" applyNumberFormat="1" applyFont="1" applyFill="1" applyBorder="1" applyAlignment="1" applyProtection="1">
      <alignment horizontal="right"/>
      <protection hidden="1"/>
    </xf>
    <xf numFmtId="182" fontId="12" fillId="0" borderId="6" xfId="0" applyNumberFormat="1" applyFont="1" applyBorder="1" applyAlignment="1" applyProtection="1">
      <alignment horizontal="center" vertical="center"/>
      <protection hidden="1"/>
    </xf>
    <xf numFmtId="180" fontId="9" fillId="4" borderId="7" xfId="0" applyNumberFormat="1" applyFont="1" applyFill="1" applyBorder="1" applyAlignment="1" applyProtection="1">
      <alignment horizontal="right"/>
      <protection hidden="1"/>
    </xf>
    <xf numFmtId="180" fontId="9" fillId="4" borderId="8" xfId="0" applyNumberFormat="1" applyFont="1" applyFill="1" applyBorder="1" applyAlignment="1" applyProtection="1">
      <alignment horizontal="right"/>
      <protection hidden="1"/>
    </xf>
    <xf numFmtId="180" fontId="9" fillId="7" borderId="5" xfId="0" applyNumberFormat="1" applyFont="1" applyFill="1" applyBorder="1" applyAlignment="1" applyProtection="1">
      <alignment horizontal="right"/>
      <protection hidden="1"/>
    </xf>
    <xf numFmtId="182" fontId="12" fillId="0" borderId="9" xfId="0" applyNumberFormat="1" applyFont="1" applyBorder="1" applyAlignment="1" applyProtection="1">
      <alignment horizontal="center" vertical="center"/>
      <protection hidden="1"/>
    </xf>
    <xf numFmtId="180" fontId="9" fillId="4" borderId="10" xfId="0" applyNumberFormat="1" applyFont="1" applyFill="1" applyBorder="1" applyAlignment="1" applyProtection="1">
      <alignment horizontal="right"/>
      <protection hidden="1"/>
    </xf>
    <xf numFmtId="180" fontId="9" fillId="4" borderId="11" xfId="0" applyNumberFormat="1" applyFont="1" applyFill="1" applyBorder="1" applyAlignment="1" applyProtection="1">
      <alignment horizontal="right"/>
      <protection hidden="1"/>
    </xf>
    <xf numFmtId="180" fontId="2" fillId="0" borderId="0" xfId="0" applyNumberFormat="1" applyFont="1" applyProtection="1">
      <protection hidden="1"/>
    </xf>
    <xf numFmtId="181" fontId="11" fillId="0" borderId="12" xfId="2" applyNumberFormat="1" applyFont="1" applyFill="1" applyBorder="1" applyAlignment="1" applyProtection="1">
      <alignment horizontal="center" vertical="center" wrapText="1"/>
      <protection hidden="1"/>
    </xf>
    <xf numFmtId="0" fontId="11" fillId="0" borderId="13" xfId="0" applyNumberFormat="1" applyFont="1" applyBorder="1" applyAlignment="1" applyProtection="1">
      <alignment horizontal="center" vertical="center"/>
      <protection hidden="1"/>
    </xf>
    <xf numFmtId="180" fontId="9" fillId="4" borderId="14" xfId="0" applyNumberFormat="1" applyFont="1" applyFill="1" applyBorder="1" applyAlignment="1" applyProtection="1">
      <alignment horizontal="right"/>
      <protection hidden="1"/>
    </xf>
    <xf numFmtId="180" fontId="13" fillId="0" borderId="0" xfId="0" applyNumberFormat="1" applyFont="1" applyAlignment="1" applyProtection="1">
      <alignment horizontal="center"/>
      <protection hidden="1"/>
    </xf>
    <xf numFmtId="0" fontId="12" fillId="0" borderId="15" xfId="0" applyNumberFormat="1" applyFont="1" applyBorder="1" applyAlignment="1" applyProtection="1">
      <alignment horizontal="center" vertical="center"/>
      <protection hidden="1"/>
    </xf>
    <xf numFmtId="180" fontId="9" fillId="4" borderId="16" xfId="0" applyNumberFormat="1" applyFont="1" applyFill="1" applyBorder="1" applyAlignment="1" applyProtection="1">
      <alignment horizontal="right"/>
      <protection hidden="1"/>
    </xf>
    <xf numFmtId="0" fontId="14" fillId="0" borderId="15" xfId="0" applyNumberFormat="1" applyFont="1" applyBorder="1" applyAlignment="1" applyProtection="1">
      <alignment horizontal="center" vertical="center"/>
      <protection hidden="1"/>
    </xf>
    <xf numFmtId="0" fontId="15" fillId="0" borderId="0" xfId="0" applyFont="1"/>
    <xf numFmtId="0" fontId="2" fillId="0" borderId="0" xfId="0" applyFont="1"/>
    <xf numFmtId="0" fontId="16" fillId="8" borderId="0" xfId="0" applyFont="1" applyFill="1"/>
    <xf numFmtId="0" fontId="18" fillId="0" borderId="5" xfId="0" applyFont="1" applyFill="1" applyBorder="1" applyAlignment="1">
      <alignment horizontal="center" vertical="center"/>
    </xf>
    <xf numFmtId="0" fontId="18" fillId="0" borderId="5" xfId="3" applyFont="1" applyFill="1" applyBorder="1" applyAlignment="1">
      <alignment horizontal="centerContinuous" vertical="center"/>
    </xf>
    <xf numFmtId="0" fontId="18" fillId="0" borderId="5" xfId="0" applyFont="1" applyBorder="1" applyAlignment="1">
      <alignment horizontal="center" vertical="center" wrapText="1"/>
    </xf>
    <xf numFmtId="181" fontId="15" fillId="0" borderId="5" xfId="0" applyNumberFormat="1" applyFont="1" applyBorder="1"/>
    <xf numFmtId="181" fontId="18" fillId="0" borderId="5" xfId="0" applyNumberFormat="1" applyFont="1" applyBorder="1" applyAlignment="1">
      <alignment horizontal="center" vertical="center"/>
    </xf>
    <xf numFmtId="184" fontId="18" fillId="0" borderId="5" xfId="0" applyNumberFormat="1" applyFont="1" applyBorder="1" applyAlignment="1">
      <alignment horizontal="center" vertical="center"/>
    </xf>
    <xf numFmtId="183" fontId="18" fillId="0" borderId="5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/>
    <xf numFmtId="181" fontId="15" fillId="0" borderId="0" xfId="0" applyNumberFormat="1" applyFont="1" applyBorder="1"/>
    <xf numFmtId="0" fontId="18" fillId="0" borderId="0" xfId="0" applyFont="1" applyFill="1" applyBorder="1" applyAlignment="1">
      <alignment horizontal="center" vertical="center" wrapText="1"/>
    </xf>
    <xf numFmtId="0" fontId="15" fillId="0" borderId="0" xfId="0" applyFont="1" applyBorder="1"/>
    <xf numFmtId="181" fontId="18" fillId="0" borderId="0" xfId="0" applyNumberFormat="1" applyFont="1" applyBorder="1" applyAlignment="1">
      <alignment horizontal="center" vertical="center"/>
    </xf>
    <xf numFmtId="184" fontId="18" fillId="0" borderId="0" xfId="0" applyNumberFormat="1" applyFont="1" applyBorder="1" applyAlignment="1">
      <alignment horizontal="center" vertical="center"/>
    </xf>
    <xf numFmtId="183" fontId="18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" fillId="0" borderId="0" xfId="0" applyFont="1" applyAlignment="1" applyProtection="1">
      <alignment horizontal="right"/>
      <protection hidden="1"/>
    </xf>
    <xf numFmtId="179" fontId="2" fillId="3" borderId="0" xfId="0" applyNumberFormat="1" applyFont="1" applyFill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horizontal="center" vertical="center"/>
      <protection hidden="1"/>
    </xf>
    <xf numFmtId="0" fontId="6" fillId="5" borderId="5" xfId="0" applyFont="1" applyFill="1" applyBorder="1" applyAlignment="1" applyProtection="1">
      <alignment horizontal="center" vertical="center"/>
      <protection hidden="1"/>
    </xf>
    <xf numFmtId="14" fontId="5" fillId="0" borderId="5" xfId="0" applyNumberFormat="1" applyFont="1" applyBorder="1" applyAlignment="1" applyProtection="1">
      <alignment horizontal="right"/>
      <protection hidden="1"/>
    </xf>
    <xf numFmtId="0" fontId="5" fillId="0" borderId="5" xfId="0" applyNumberFormat="1" applyFont="1" applyBorder="1" applyAlignment="1" applyProtection="1">
      <alignment horizontal="center"/>
      <protection hidden="1"/>
    </xf>
    <xf numFmtId="180" fontId="5" fillId="0" borderId="5" xfId="0" applyNumberFormat="1" applyFont="1" applyBorder="1" applyAlignment="1" applyProtection="1">
      <alignment horizontal="center"/>
      <protection hidden="1"/>
    </xf>
    <xf numFmtId="180" fontId="9" fillId="0" borderId="5" xfId="0" applyNumberFormat="1" applyFont="1" applyBorder="1" applyAlignment="1" applyProtection="1">
      <alignment horizontal="right"/>
      <protection hidden="1"/>
    </xf>
    <xf numFmtId="180" fontId="5" fillId="0" borderId="5" xfId="0" applyNumberFormat="1" applyFont="1" applyBorder="1" applyAlignment="1" applyProtection="1">
      <alignment horizontal="right"/>
      <protection hidden="1"/>
    </xf>
    <xf numFmtId="0" fontId="10" fillId="6" borderId="2" xfId="0" applyFont="1" applyFill="1" applyBorder="1" applyAlignment="1" applyProtection="1">
      <alignment horizontal="center" vertical="center" wrapText="1"/>
      <protection hidden="1"/>
    </xf>
    <xf numFmtId="185" fontId="5" fillId="0" borderId="5" xfId="0" applyNumberFormat="1" applyFont="1" applyBorder="1" applyAlignment="1" applyProtection="1">
      <alignment horizontal="center"/>
      <protection hidden="1"/>
    </xf>
    <xf numFmtId="181" fontId="11" fillId="0" borderId="19" xfId="2" applyNumberFormat="1" applyFont="1" applyFill="1" applyBorder="1" applyAlignment="1" applyProtection="1">
      <alignment horizontal="center" vertical="center" wrapText="1"/>
      <protection hidden="1"/>
    </xf>
    <xf numFmtId="180" fontId="9" fillId="4" borderId="20" xfId="0" applyNumberFormat="1" applyFont="1" applyFill="1" applyBorder="1" applyAlignment="1" applyProtection="1">
      <alignment horizontal="right"/>
      <protection hidden="1"/>
    </xf>
    <xf numFmtId="180" fontId="9" fillId="4" borderId="21" xfId="0" applyNumberFormat="1" applyFont="1" applyFill="1" applyBorder="1" applyAlignment="1" applyProtection="1">
      <alignment horizontal="right"/>
      <protection hidden="1"/>
    </xf>
    <xf numFmtId="180" fontId="9" fillId="4" borderId="22" xfId="0" applyNumberFormat="1" applyFont="1" applyFill="1" applyBorder="1" applyAlignment="1" applyProtection="1">
      <alignment horizontal="right"/>
      <protection hidden="1"/>
    </xf>
    <xf numFmtId="180" fontId="9" fillId="4" borderId="23" xfId="0" applyNumberFormat="1" applyFont="1" applyFill="1" applyBorder="1" applyAlignment="1" applyProtection="1">
      <alignment horizontal="right"/>
      <protection hidden="1"/>
    </xf>
    <xf numFmtId="180" fontId="9" fillId="4" borderId="24" xfId="0" applyNumberFormat="1" applyFont="1" applyFill="1" applyBorder="1" applyAlignment="1" applyProtection="1">
      <alignment horizontal="right"/>
      <protection hidden="1"/>
    </xf>
    <xf numFmtId="180" fontId="9" fillId="4" borderId="25" xfId="0" applyNumberFormat="1" applyFont="1" applyFill="1" applyBorder="1" applyAlignment="1" applyProtection="1">
      <alignment horizontal="right"/>
      <protection hidden="1"/>
    </xf>
    <xf numFmtId="0" fontId="14" fillId="0" borderId="26" xfId="0" applyNumberFormat="1" applyFont="1" applyBorder="1" applyAlignment="1" applyProtection="1">
      <alignment horizontal="center" vertical="center"/>
      <protection hidden="1"/>
    </xf>
    <xf numFmtId="0" fontId="2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7" fillId="5" borderId="27" xfId="0" applyFont="1" applyFill="1" applyBorder="1" applyAlignment="1" applyProtection="1">
      <alignment horizontal="center" vertical="center" wrapText="1"/>
      <protection locked="0"/>
    </xf>
    <xf numFmtId="14" fontId="13" fillId="2" borderId="5" xfId="0" applyNumberFormat="1" applyFont="1" applyFill="1" applyBorder="1" applyProtection="1">
      <protection locked="0"/>
    </xf>
    <xf numFmtId="0" fontId="13" fillId="2" borderId="5" xfId="0" applyFont="1" applyFill="1" applyBorder="1" applyAlignment="1" applyProtection="1">
      <alignment horizontal="center"/>
      <protection locked="0"/>
    </xf>
    <xf numFmtId="14" fontId="14" fillId="0" borderId="5" xfId="0" applyNumberFormat="1" applyFont="1" applyBorder="1" applyAlignment="1" applyProtection="1">
      <alignment horizontal="center" vertical="center"/>
      <protection locked="0"/>
    </xf>
    <xf numFmtId="49" fontId="14" fillId="0" borderId="5" xfId="0" applyNumberFormat="1" applyFont="1" applyBorder="1" applyAlignment="1" applyProtection="1">
      <alignment horizontal="center" vertical="center"/>
      <protection locked="0"/>
    </xf>
    <xf numFmtId="180" fontId="5" fillId="0" borderId="5" xfId="0" applyNumberFormat="1" applyFont="1" applyBorder="1" applyAlignment="1" applyProtection="1">
      <alignment vertical="center"/>
      <protection locked="0"/>
    </xf>
    <xf numFmtId="14" fontId="14" fillId="2" borderId="5" xfId="0" applyNumberFormat="1" applyFont="1" applyFill="1" applyBorder="1" applyAlignment="1" applyProtection="1">
      <alignment horizontal="center"/>
      <protection locked="0"/>
    </xf>
    <xf numFmtId="14" fontId="12" fillId="0" borderId="5" xfId="0" applyNumberFormat="1" applyFont="1" applyBorder="1" applyAlignment="1" applyProtection="1">
      <alignment horizontal="center" vertical="center"/>
      <protection locked="0"/>
    </xf>
    <xf numFmtId="0" fontId="12" fillId="0" borderId="5" xfId="0" applyFont="1" applyBorder="1" applyAlignment="1" applyProtection="1">
      <alignment vertical="center"/>
      <protection locked="0"/>
    </xf>
    <xf numFmtId="0" fontId="22" fillId="6" borderId="29" xfId="0" applyFont="1" applyFill="1" applyBorder="1" applyAlignment="1" applyProtection="1">
      <alignment horizontal="center" vertical="center" wrapText="1"/>
      <protection locked="0"/>
    </xf>
    <xf numFmtId="181" fontId="16" fillId="0" borderId="27" xfId="2" applyNumberFormat="1" applyFont="1" applyFill="1" applyBorder="1" applyAlignment="1" applyProtection="1">
      <alignment horizontal="center" vertical="center" wrapText="1"/>
      <protection locked="0"/>
    </xf>
    <xf numFmtId="186" fontId="12" fillId="0" borderId="5" xfId="0" applyNumberFormat="1" applyFont="1" applyBorder="1" applyAlignment="1" applyProtection="1">
      <alignment horizontal="center" vertical="center"/>
      <protection locked="0"/>
    </xf>
    <xf numFmtId="180" fontId="5" fillId="0" borderId="5" xfId="0" applyNumberFormat="1" applyFont="1" applyBorder="1" applyAlignment="1" applyProtection="1">
      <alignment horizontal="right" vertical="center"/>
      <protection locked="0"/>
    </xf>
    <xf numFmtId="180" fontId="5" fillId="4" borderId="5" xfId="0" applyNumberFormat="1" applyFont="1" applyFill="1" applyBorder="1" applyAlignment="1" applyProtection="1">
      <alignment horizontal="right" vertical="center"/>
      <protection hidden="1"/>
    </xf>
    <xf numFmtId="182" fontId="12" fillId="0" borderId="5" xfId="0" applyNumberFormat="1" applyFont="1" applyBorder="1" applyAlignment="1" applyProtection="1">
      <alignment horizontal="center" vertical="center"/>
      <protection locked="0"/>
    </xf>
    <xf numFmtId="14" fontId="12" fillId="4" borderId="5" xfId="0" applyNumberFormat="1" applyFont="1" applyFill="1" applyBorder="1" applyAlignment="1" applyProtection="1">
      <alignment horizontal="center" vertical="center"/>
      <protection hidden="1"/>
    </xf>
    <xf numFmtId="0" fontId="12" fillId="7" borderId="5" xfId="0" applyFont="1" applyFill="1" applyBorder="1" applyAlignment="1" applyProtection="1">
      <alignment horizontal="center" vertical="center"/>
      <protection hidden="1"/>
    </xf>
    <xf numFmtId="180" fontId="12" fillId="7" borderId="5" xfId="0" applyNumberFormat="1" applyFont="1" applyFill="1" applyBorder="1" applyAlignment="1" applyProtection="1">
      <alignment horizontal="right" vertical="center"/>
      <protection hidden="1"/>
    </xf>
    <xf numFmtId="180" fontId="12" fillId="7" borderId="5" xfId="0" applyNumberFormat="1" applyFont="1" applyFill="1" applyBorder="1" applyAlignment="1" applyProtection="1">
      <alignment vertical="center"/>
      <protection hidden="1"/>
    </xf>
    <xf numFmtId="14" fontId="12" fillId="4" borderId="5" xfId="0" applyNumberFormat="1" applyFont="1" applyFill="1" applyBorder="1" applyAlignment="1" applyProtection="1">
      <alignment vertical="center"/>
      <protection hidden="1"/>
    </xf>
    <xf numFmtId="181" fontId="16" fillId="0" borderId="28" xfId="2" applyNumberFormat="1" applyFont="1" applyFill="1" applyBorder="1" applyAlignment="1" applyProtection="1">
      <alignment horizontal="center" vertical="center" wrapText="1"/>
      <protection locked="0"/>
    </xf>
    <xf numFmtId="14" fontId="2" fillId="2" borderId="0" xfId="0" applyNumberFormat="1" applyFont="1" applyFill="1" applyProtection="1">
      <protection locked="0"/>
    </xf>
    <xf numFmtId="0" fontId="23" fillId="0" borderId="0" xfId="1" applyFont="1">
      <alignment vertical="center"/>
    </xf>
    <xf numFmtId="0" fontId="16" fillId="0" borderId="0" xfId="1" applyFont="1">
      <alignment vertical="center"/>
    </xf>
    <xf numFmtId="0" fontId="25" fillId="5" borderId="0" xfId="1" applyFont="1" applyFill="1" applyAlignment="1">
      <alignment horizontal="justify" vertical="center"/>
    </xf>
    <xf numFmtId="0" fontId="25" fillId="5" borderId="0" xfId="1" applyFont="1" applyFill="1">
      <alignment vertical="center"/>
    </xf>
    <xf numFmtId="0" fontId="23" fillId="0" borderId="0" xfId="1" applyFont="1" applyFill="1">
      <alignment vertical="center"/>
    </xf>
    <xf numFmtId="0" fontId="27" fillId="5" borderId="0" xfId="1" applyFont="1" applyFill="1">
      <alignment vertical="center"/>
    </xf>
    <xf numFmtId="0" fontId="16" fillId="0" borderId="0" xfId="1" applyFont="1" applyFill="1">
      <alignment vertical="center"/>
    </xf>
    <xf numFmtId="0" fontId="7" fillId="5" borderId="1" xfId="0" quotePrefix="1" applyFont="1" applyFill="1" applyBorder="1" applyAlignment="1" applyProtection="1">
      <alignment horizontal="center" vertical="center"/>
      <protection locked="0"/>
    </xf>
    <xf numFmtId="0" fontId="7" fillId="5" borderId="27" xfId="0" quotePrefix="1" applyFont="1" applyFill="1" applyBorder="1" applyAlignment="1" applyProtection="1">
      <alignment horizontal="center" vertical="center" wrapText="1"/>
      <protection locked="0"/>
    </xf>
    <xf numFmtId="0" fontId="7" fillId="5" borderId="28" xfId="0" quotePrefix="1" applyFont="1" applyFill="1" applyBorder="1" applyAlignment="1" applyProtection="1">
      <alignment horizontal="center" vertical="center" wrapText="1"/>
      <protection locked="0"/>
    </xf>
    <xf numFmtId="0" fontId="16" fillId="0" borderId="27" xfId="0" quotePrefix="1" applyFont="1" applyBorder="1" applyAlignment="1" applyProtection="1">
      <alignment horizontal="center" vertical="center" wrapText="1"/>
      <protection locked="0"/>
    </xf>
    <xf numFmtId="0" fontId="13" fillId="2" borderId="5" xfId="0" quotePrefix="1" applyFont="1" applyFill="1" applyBorder="1" applyAlignment="1" applyProtection="1">
      <alignment horizontal="center"/>
      <protection locked="0"/>
    </xf>
    <xf numFmtId="49" fontId="14" fillId="0" borderId="5" xfId="0" quotePrefix="1" applyNumberFormat="1" applyFont="1" applyBorder="1" applyAlignment="1" applyProtection="1">
      <alignment horizontal="center" vertical="center"/>
      <protection locked="0"/>
    </xf>
    <xf numFmtId="0" fontId="6" fillId="5" borderId="5" xfId="0" quotePrefix="1" applyFont="1" applyFill="1" applyBorder="1" applyAlignment="1" applyProtection="1">
      <alignment horizontal="center" vertical="center"/>
      <protection hidden="1"/>
    </xf>
    <xf numFmtId="0" fontId="6" fillId="5" borderId="3" xfId="0" quotePrefix="1" applyFont="1" applyFill="1" applyBorder="1" applyAlignment="1" applyProtection="1">
      <alignment horizontal="center" vertical="center" wrapText="1"/>
      <protection hidden="1"/>
    </xf>
    <xf numFmtId="0" fontId="8" fillId="5" borderId="3" xfId="0" quotePrefix="1" applyFont="1" applyFill="1" applyBorder="1" applyAlignment="1" applyProtection="1">
      <alignment horizontal="center" vertical="center" wrapText="1"/>
      <protection hidden="1"/>
    </xf>
    <xf numFmtId="0" fontId="21" fillId="5" borderId="3" xfId="0" quotePrefix="1" applyFont="1" applyFill="1" applyBorder="1" applyAlignment="1" applyProtection="1">
      <alignment horizontal="center" vertical="center" wrapText="1"/>
      <protection hidden="1"/>
    </xf>
    <xf numFmtId="0" fontId="6" fillId="5" borderId="12" xfId="0" quotePrefix="1" applyFont="1" applyFill="1" applyBorder="1" applyAlignment="1" applyProtection="1">
      <alignment horizontal="center" vertical="center" wrapText="1"/>
      <protection hidden="1"/>
    </xf>
    <xf numFmtId="0" fontId="11" fillId="0" borderId="18" xfId="0" quotePrefix="1" applyFont="1" applyBorder="1" applyAlignment="1" applyProtection="1">
      <alignment horizontal="center" vertical="center" wrapText="1"/>
      <protection hidden="1"/>
    </xf>
    <xf numFmtId="14" fontId="5" fillId="0" borderId="5" xfId="0" quotePrefix="1" applyNumberFormat="1" applyFont="1" applyBorder="1" applyAlignment="1" applyProtection="1">
      <alignment horizontal="center"/>
      <protection hidden="1"/>
    </xf>
    <xf numFmtId="0" fontId="5" fillId="0" borderId="5" xfId="0" quotePrefix="1" applyNumberFormat="1" applyFont="1" applyBorder="1" applyAlignment="1" applyProtection="1">
      <alignment horizontal="center"/>
      <protection hidden="1"/>
    </xf>
    <xf numFmtId="0" fontId="18" fillId="0" borderId="5" xfId="0" quotePrefix="1" applyFont="1" applyFill="1" applyBorder="1" applyAlignment="1">
      <alignment horizontal="center" vertical="center"/>
    </xf>
    <xf numFmtId="0" fontId="18" fillId="0" borderId="5" xfId="0" quotePrefix="1" applyFont="1" applyBorder="1" applyAlignment="1">
      <alignment horizontal="center" vertical="center" wrapText="1"/>
    </xf>
    <xf numFmtId="0" fontId="4" fillId="3" borderId="0" xfId="0" quotePrefix="1" applyFont="1" applyFill="1" applyAlignment="1" applyProtection="1">
      <alignment horizontal="center"/>
      <protection locked="0"/>
    </xf>
    <xf numFmtId="0" fontId="6" fillId="5" borderId="2" xfId="0" quotePrefix="1" applyFont="1" applyFill="1" applyBorder="1" applyAlignment="1" applyProtection="1">
      <alignment horizontal="center" vertical="center"/>
      <protection hidden="1"/>
    </xf>
    <xf numFmtId="0" fontId="7" fillId="5" borderId="3" xfId="0" quotePrefix="1" applyFont="1" applyFill="1" applyBorder="1" applyAlignment="1" applyProtection="1">
      <alignment horizontal="center" vertical="center"/>
      <protection hidden="1"/>
    </xf>
    <xf numFmtId="0" fontId="11" fillId="0" borderId="3" xfId="0" quotePrefix="1" applyFont="1" applyBorder="1" applyAlignment="1" applyProtection="1">
      <alignment horizontal="center" vertical="center" wrapText="1"/>
      <protection hidden="1"/>
    </xf>
    <xf numFmtId="14" fontId="5" fillId="0" borderId="4" xfId="0" quotePrefix="1" applyNumberFormat="1" applyFont="1" applyBorder="1" applyAlignment="1" applyProtection="1">
      <alignment horizontal="center"/>
      <protection hidden="1"/>
    </xf>
    <xf numFmtId="0" fontId="14" fillId="0" borderId="15" xfId="0" quotePrefix="1" applyNumberFormat="1" applyFont="1" applyBorder="1" applyAlignment="1" applyProtection="1">
      <alignment horizontal="center" vertical="center"/>
      <protection hidden="1"/>
    </xf>
    <xf numFmtId="0" fontId="24" fillId="7" borderId="0" xfId="1" applyFont="1" applyFill="1" applyAlignment="1">
      <alignment horizontal="center" vertical="center"/>
    </xf>
    <xf numFmtId="0" fontId="26" fillId="5" borderId="0" xfId="1" applyFont="1" applyFill="1" applyAlignment="1">
      <alignment horizontal="center" vertical="center"/>
    </xf>
    <xf numFmtId="0" fontId="17" fillId="8" borderId="17" xfId="0" applyFont="1" applyFill="1" applyBorder="1" applyAlignment="1">
      <alignment horizontal="center"/>
    </xf>
  </cellXfs>
  <cellStyles count="4">
    <cellStyle name="常规" xfId="0" builtinId="0"/>
    <cellStyle name="常规 2" xfId="1" xr:uid="{00000000-0005-0000-0000-000031000000}"/>
    <cellStyle name="常规_Sheet1" xfId="2" xr:uid="{00000000-0005-0000-0000-000032000000}"/>
    <cellStyle name="普通_7月1日-31日" xfId="3" xr:uid="{00000000-0005-0000-0000-000033000000}"/>
  </cellStyles>
  <dxfs count="7">
    <dxf>
      <font>
        <color indexed="41"/>
      </font>
    </dxf>
    <dxf>
      <font>
        <color indexed="9"/>
      </font>
    </dxf>
    <dxf>
      <font>
        <color indexed="42"/>
      </font>
    </dxf>
    <dxf>
      <font>
        <color indexed="9"/>
      </font>
    </dxf>
    <dxf>
      <font>
        <color indexed="41"/>
      </font>
    </dxf>
    <dxf>
      <font>
        <color indexed="9"/>
      </font>
    </dxf>
    <dxf>
      <font>
        <color indexed="4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spPr>
            <a:gradFill rotWithShape="0">
              <a:gsLst>
                <a:gs pos="0">
                  <a:srgbClr val="00FFFF">
                    <a:gamma/>
                    <a:shade val="46275"/>
                    <a:invGamma/>
                  </a:srgbClr>
                </a:gs>
                <a:gs pos="50000">
                  <a:srgbClr val="00FFFF"/>
                </a:gs>
                <a:gs pos="100000">
                  <a:srgbClr val="00FF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764-4CFE-8887-25CF16235DD8}"/>
            </c:ext>
          </c:extLst>
        </c:ser>
        <c:ser>
          <c:idx val="0"/>
          <c:order val="1"/>
          <c:spPr>
            <a:gradFill rotWithShape="0">
              <a:gsLst>
                <a:gs pos="0">
                  <a:srgbClr val="FF9900">
                    <a:gamma/>
                    <a:shade val="46275"/>
                    <a:invGamma/>
                  </a:srgbClr>
                </a:gs>
                <a:gs pos="50000">
                  <a:srgbClr val="FF9900"/>
                </a:gs>
                <a:gs pos="100000">
                  <a:srgbClr val="FF990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764-4CFE-8887-25CF16235DD8}"/>
            </c:ext>
          </c:extLst>
        </c:ser>
        <c:ser>
          <c:idx val="2"/>
          <c:order val="2"/>
          <c:spPr>
            <a:gradFill rotWithShape="0">
              <a:gsLst>
                <a:gs pos="0">
                  <a:srgbClr val="99CC00">
                    <a:gamma/>
                    <a:shade val="46275"/>
                    <a:invGamma/>
                  </a:srgbClr>
                </a:gs>
                <a:gs pos="50000">
                  <a:srgbClr val="99CC00"/>
                </a:gs>
                <a:gs pos="100000">
                  <a:srgbClr val="99CC0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764-4CFE-8887-25CF16235DD8}"/>
            </c:ext>
          </c:extLst>
        </c:ser>
        <c:ser>
          <c:idx val="3"/>
          <c:order val="3"/>
          <c:spPr>
            <a:gradFill rotWithShape="0">
              <a:gsLst>
                <a:gs pos="0">
                  <a:srgbClr val="FF99CC">
                    <a:gamma/>
                    <a:shade val="46275"/>
                    <a:invGamma/>
                  </a:srgbClr>
                </a:gs>
                <a:gs pos="50000">
                  <a:srgbClr val="FF99CC"/>
                </a:gs>
                <a:gs pos="100000">
                  <a:srgbClr val="FF99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E764-4CFE-8887-25CF16235DD8}"/>
            </c:ext>
          </c:extLst>
        </c:ser>
        <c:ser>
          <c:idx val="4"/>
          <c:order val="4"/>
          <c:spPr>
            <a:gradFill rotWithShape="0">
              <a:gsLst>
                <a:gs pos="0">
                  <a:srgbClr val="660066"/>
                </a:gs>
                <a:gs pos="50000">
                  <a:srgbClr val="FFFF99"/>
                </a:gs>
                <a:gs pos="100000">
                  <a:srgbClr val="660066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rgbClr val="993366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[1]完成率图表!#REF!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E764-4CFE-8887-25CF16235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959360"/>
        <c:axId val="186960896"/>
      </c:barChart>
      <c:lineChart>
        <c:grouping val="standard"/>
        <c:varyColors val="0"/>
        <c:ser>
          <c:idx val="5"/>
          <c:order val="5"/>
          <c:spPr>
            <a:ln w="12700" cap="rnd" cmpd="sng" algn="ctr">
              <a:solidFill>
                <a:srgbClr val="800000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rgbClr val="800000"/>
              </a:solidFill>
              <a:ln w="9525" cap="flat" cmpd="sng" algn="ctr">
                <a:solidFill>
                  <a:srgbClr val="800000"/>
                </a:solidFill>
                <a:prstDash val="solid"/>
                <a:round/>
              </a:ln>
            </c:spPr>
          </c:marker>
          <c:dLbls>
            <c:numFmt formatCode="0%" sourceLinked="0"/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[1]完成率图表!#REF!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E764-4CFE-8887-25CF16235D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192064"/>
        <c:axId val="187193600"/>
      </c:lineChart>
      <c:catAx>
        <c:axId val="1869593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华文隶书" panose="02010800040101010101" charset="-122"/>
                <a:ea typeface="华文隶书" panose="02010800040101010101" charset="-122"/>
                <a:cs typeface="华文隶书" panose="02010800040101010101" charset="-122"/>
              </a:defRPr>
            </a:pPr>
            <a:endParaRPr lang="zh-CN"/>
          </a:p>
        </c:txPr>
        <c:crossAx val="186960896"/>
        <c:crosses val="autoZero"/>
        <c:auto val="0"/>
        <c:lblAlgn val="ctr"/>
        <c:lblOffset val="100"/>
        <c:tickLblSkip val="1"/>
        <c:noMultiLvlLbl val="0"/>
      </c:catAx>
      <c:valAx>
        <c:axId val="186960896"/>
        <c:scaling>
          <c:orientation val="minMax"/>
        </c:scaling>
        <c:delete val="0"/>
        <c:axPos val="l"/>
        <c:numFmt formatCode="0_ " sourceLinked="0"/>
        <c:majorTickMark val="in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86959360"/>
        <c:crosses val="autoZero"/>
        <c:crossBetween val="between"/>
      </c:valAx>
      <c:catAx>
        <c:axId val="187192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7193600"/>
        <c:crosses val="autoZero"/>
        <c:auto val="0"/>
        <c:lblAlgn val="ctr"/>
        <c:lblOffset val="100"/>
        <c:noMultiLvlLbl val="0"/>
      </c:catAx>
      <c:valAx>
        <c:axId val="187193600"/>
        <c:scaling>
          <c:orientation val="minMax"/>
        </c:scaling>
        <c:delete val="0"/>
        <c:axPos val="r"/>
        <c:numFmt formatCode="0%" sourceLinked="0"/>
        <c:majorTickMark val="in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8719206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1470" b="0" i="0" u="none" strike="noStrike" kern="1200" baseline="0">
              <a:solidFill>
                <a:srgbClr val="000000"/>
              </a:solidFill>
              <a:latin typeface="华文隶书" panose="02010800040101010101" charset="-122"/>
              <a:ea typeface="华文隶书" panose="02010800040101010101" charset="-122"/>
              <a:cs typeface="华文隶书" panose="02010800040101010101" charset="-122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  <a:round/>
    </a:ln>
  </c:spPr>
  <c:txPr>
    <a:bodyPr/>
    <a:lstStyle/>
    <a:p>
      <a:pPr>
        <a:defRPr lang="zh-CN" sz="100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298661413658795E-2"/>
          <c:y val="4.4444565008043099E-2"/>
          <c:w val="0.85895860154177905"/>
          <c:h val="0.68055740168566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分析!$B$5</c:f>
              <c:strCache>
                <c:ptCount val="1"/>
                <c:pt idx="0">
                  <c:v>期初余额</c:v>
                </c:pt>
              </c:strCache>
            </c:strRef>
          </c:tx>
          <c:invertIfNegative val="0"/>
          <c:cat>
            <c:strRef>
              <c:f>分析!$C$3:$J$3</c:f>
              <c:strCache>
                <c:ptCount val="8"/>
                <c:pt idx="0">
                  <c:v>张三</c:v>
                </c:pt>
                <c:pt idx="1">
                  <c:v>李四</c:v>
                </c:pt>
                <c:pt idx="2">
                  <c:v>王五</c:v>
                </c:pt>
                <c:pt idx="3">
                  <c:v>木六</c:v>
                </c:pt>
                <c:pt idx="4">
                  <c:v>武5</c:v>
                </c:pt>
                <c:pt idx="5">
                  <c:v>任6</c:v>
                </c:pt>
                <c:pt idx="6">
                  <c:v>C大</c:v>
                </c:pt>
                <c:pt idx="7">
                  <c:v>潘五</c:v>
                </c:pt>
              </c:strCache>
            </c:strRef>
          </c:cat>
          <c:val>
            <c:numRef>
              <c:f>分析!$C$5:$J$5</c:f>
              <c:numCache>
                <c:formatCode>0.00_ </c:formatCode>
                <c:ptCount val="8"/>
                <c:pt idx="0">
                  <c:v>18</c:v>
                </c:pt>
                <c:pt idx="1">
                  <c:v>1.5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1-407F-B671-BBD9FC728282}"/>
            </c:ext>
          </c:extLst>
        </c:ser>
        <c:ser>
          <c:idx val="1"/>
          <c:order val="1"/>
          <c:tx>
            <c:strRef>
              <c:f>分析!$B$6</c:f>
              <c:strCache>
                <c:ptCount val="1"/>
                <c:pt idx="0">
                  <c:v>本期销售</c:v>
                </c:pt>
              </c:strCache>
            </c:strRef>
          </c:tx>
          <c:invertIfNegative val="0"/>
          <c:cat>
            <c:strRef>
              <c:f>分析!$C$3:$J$3</c:f>
              <c:strCache>
                <c:ptCount val="8"/>
                <c:pt idx="0">
                  <c:v>张三</c:v>
                </c:pt>
                <c:pt idx="1">
                  <c:v>李四</c:v>
                </c:pt>
                <c:pt idx="2">
                  <c:v>王五</c:v>
                </c:pt>
                <c:pt idx="3">
                  <c:v>木六</c:v>
                </c:pt>
                <c:pt idx="4">
                  <c:v>武5</c:v>
                </c:pt>
                <c:pt idx="5">
                  <c:v>任6</c:v>
                </c:pt>
                <c:pt idx="6">
                  <c:v>C大</c:v>
                </c:pt>
                <c:pt idx="7">
                  <c:v>潘五</c:v>
                </c:pt>
              </c:strCache>
            </c:strRef>
          </c:cat>
          <c:val>
            <c:numRef>
              <c:f>分析!$C$6:$J$6</c:f>
              <c:numCache>
                <c:formatCode>0.00_ </c:formatCode>
                <c:ptCount val="8"/>
                <c:pt idx="0">
                  <c:v>68.2</c:v>
                </c:pt>
                <c:pt idx="1">
                  <c:v>14</c:v>
                </c:pt>
                <c:pt idx="2">
                  <c:v>30</c:v>
                </c:pt>
                <c:pt idx="3">
                  <c:v>28</c:v>
                </c:pt>
                <c:pt idx="4">
                  <c:v>31</c:v>
                </c:pt>
                <c:pt idx="5">
                  <c:v>12</c:v>
                </c:pt>
                <c:pt idx="6">
                  <c:v>29</c:v>
                </c:pt>
                <c:pt idx="7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1-407F-B671-BBD9FC728282}"/>
            </c:ext>
          </c:extLst>
        </c:ser>
        <c:ser>
          <c:idx val="2"/>
          <c:order val="2"/>
          <c:tx>
            <c:strRef>
              <c:f>分析!$B$7</c:f>
              <c:strCache>
                <c:ptCount val="1"/>
                <c:pt idx="0">
                  <c:v>本期收款</c:v>
                </c:pt>
              </c:strCache>
            </c:strRef>
          </c:tx>
          <c:invertIfNegative val="0"/>
          <c:cat>
            <c:strRef>
              <c:f>分析!$C$3:$J$3</c:f>
              <c:strCache>
                <c:ptCount val="8"/>
                <c:pt idx="0">
                  <c:v>张三</c:v>
                </c:pt>
                <c:pt idx="1">
                  <c:v>李四</c:v>
                </c:pt>
                <c:pt idx="2">
                  <c:v>王五</c:v>
                </c:pt>
                <c:pt idx="3">
                  <c:v>木六</c:v>
                </c:pt>
                <c:pt idx="4">
                  <c:v>武5</c:v>
                </c:pt>
                <c:pt idx="5">
                  <c:v>任6</c:v>
                </c:pt>
                <c:pt idx="6">
                  <c:v>C大</c:v>
                </c:pt>
                <c:pt idx="7">
                  <c:v>潘五</c:v>
                </c:pt>
              </c:strCache>
            </c:strRef>
          </c:cat>
          <c:val>
            <c:numRef>
              <c:f>分析!$C$7:$J$7</c:f>
              <c:numCache>
                <c:formatCode>0.00_ </c:formatCode>
                <c:ptCount val="8"/>
                <c:pt idx="0">
                  <c:v>69.5</c:v>
                </c:pt>
                <c:pt idx="1">
                  <c:v>12.5</c:v>
                </c:pt>
                <c:pt idx="2">
                  <c:v>23</c:v>
                </c:pt>
                <c:pt idx="3">
                  <c:v>26</c:v>
                </c:pt>
                <c:pt idx="4">
                  <c:v>30</c:v>
                </c:pt>
                <c:pt idx="5">
                  <c:v>8</c:v>
                </c:pt>
                <c:pt idx="6">
                  <c:v>26</c:v>
                </c:pt>
                <c:pt idx="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1-407F-B671-BBD9FC728282}"/>
            </c:ext>
          </c:extLst>
        </c:ser>
        <c:ser>
          <c:idx val="3"/>
          <c:order val="3"/>
          <c:tx>
            <c:strRef>
              <c:f>分析!$B$8</c:f>
              <c:strCache>
                <c:ptCount val="1"/>
                <c:pt idx="0">
                  <c:v>累计余额</c:v>
                </c:pt>
              </c:strCache>
            </c:strRef>
          </c:tx>
          <c:invertIfNegative val="0"/>
          <c:cat>
            <c:strRef>
              <c:f>分析!$C$3:$J$3</c:f>
              <c:strCache>
                <c:ptCount val="8"/>
                <c:pt idx="0">
                  <c:v>张三</c:v>
                </c:pt>
                <c:pt idx="1">
                  <c:v>李四</c:v>
                </c:pt>
                <c:pt idx="2">
                  <c:v>王五</c:v>
                </c:pt>
                <c:pt idx="3">
                  <c:v>木六</c:v>
                </c:pt>
                <c:pt idx="4">
                  <c:v>武5</c:v>
                </c:pt>
                <c:pt idx="5">
                  <c:v>任6</c:v>
                </c:pt>
                <c:pt idx="6">
                  <c:v>C大</c:v>
                </c:pt>
                <c:pt idx="7">
                  <c:v>潘五</c:v>
                </c:pt>
              </c:strCache>
            </c:strRef>
          </c:cat>
          <c:val>
            <c:numRef>
              <c:f>分析!$C$8:$J$8</c:f>
              <c:numCache>
                <c:formatCode>0.00_ </c:formatCode>
                <c:ptCount val="8"/>
                <c:pt idx="0">
                  <c:v>16.7</c:v>
                </c:pt>
                <c:pt idx="1">
                  <c:v>3</c:v>
                </c:pt>
                <c:pt idx="2">
                  <c:v>7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1-407F-B671-BBD9FC728282}"/>
            </c:ext>
          </c:extLst>
        </c:ser>
        <c:ser>
          <c:idx val="4"/>
          <c:order val="4"/>
          <c:tx>
            <c:strRef>
              <c:f>分析!$B$9</c:f>
              <c:strCache>
                <c:ptCount val="1"/>
              </c:strCache>
            </c:strRef>
          </c:tx>
          <c:invertIfNegative val="0"/>
          <c:dLbls>
            <c:dLbl>
              <c:idx val="0"/>
              <c:layout>
                <c:manualLayout>
                  <c:x val="6.4860138864292802E-2"/>
                  <c:y val="5.2777920947051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A1-407F-B671-BBD9FC728282}"/>
                </c:ext>
              </c:extLst>
            </c:dLbl>
            <c:dLbl>
              <c:idx val="1"/>
              <c:layout>
                <c:manualLayout>
                  <c:x val="7.0456175218371704E-3"/>
                  <c:y val="0.5555570626005390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A1-407F-B671-BBD9FC728282}"/>
                </c:ext>
              </c:extLst>
            </c:dLbl>
            <c:dLbl>
              <c:idx val="2"/>
              <c:layout>
                <c:manualLayout>
                  <c:x val="8.9515906652744403E-3"/>
                  <c:y val="0.4666679325844529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A1-407F-B671-BBD9FC728282}"/>
                </c:ext>
              </c:extLst>
            </c:dLbl>
            <c:dLbl>
              <c:idx val="3"/>
              <c:layout>
                <c:manualLayout>
                  <c:x val="5.7749685333165898E-3"/>
                  <c:y val="0.4583345766454450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A1-407F-B671-BBD9FC728282}"/>
                </c:ext>
              </c:extLst>
            </c:dLbl>
            <c:dLbl>
              <c:idx val="4"/>
              <c:layout>
                <c:manualLayout>
                  <c:x val="-5.9663445722231701E-2"/>
                  <c:y val="0.5055569269664900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A1-407F-B671-BBD9FC728282}"/>
                </c:ext>
              </c:extLst>
            </c:dLbl>
            <c:dLbl>
              <c:idx val="5"/>
              <c:layout>
                <c:manualLayout>
                  <c:x val="-4.6321633209155402E-2"/>
                  <c:y val="0.6222239101126040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A1-407F-B671-BBD9FC728282}"/>
                </c:ext>
              </c:extLst>
            </c:dLbl>
            <c:dLbl>
              <c:idx val="6"/>
              <c:layout>
                <c:manualLayout>
                  <c:x val="8.95159032593075E-3"/>
                  <c:y val="0.4527790060194389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A1-407F-B671-BBD9FC728282}"/>
                </c:ext>
              </c:extLst>
            </c:dLbl>
            <c:dLbl>
              <c:idx val="7"/>
              <c:layout>
                <c:manualLayout>
                  <c:x val="7.0456170128217104E-3"/>
                  <c:y val="0.397223299759384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A1-407F-B671-BBD9FC728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分析!$C$3:$J$3</c:f>
              <c:strCache>
                <c:ptCount val="8"/>
                <c:pt idx="0">
                  <c:v>张三</c:v>
                </c:pt>
                <c:pt idx="1">
                  <c:v>李四</c:v>
                </c:pt>
                <c:pt idx="2">
                  <c:v>王五</c:v>
                </c:pt>
                <c:pt idx="3">
                  <c:v>木六</c:v>
                </c:pt>
                <c:pt idx="4">
                  <c:v>武5</c:v>
                </c:pt>
                <c:pt idx="5">
                  <c:v>任6</c:v>
                </c:pt>
                <c:pt idx="6">
                  <c:v>C大</c:v>
                </c:pt>
                <c:pt idx="7">
                  <c:v>潘五</c:v>
                </c:pt>
              </c:strCache>
            </c:strRef>
          </c:cat>
          <c:val>
            <c:numRef>
              <c:f>分析!$C$9:$J$9</c:f>
              <c:numCache>
                <c:formatCode>0.00_ 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04A1-407F-B671-BBD9FC728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270272"/>
        <c:axId val="187271808"/>
      </c:barChart>
      <c:lineChart>
        <c:grouping val="standard"/>
        <c:varyColors val="0"/>
        <c:ser>
          <c:idx val="5"/>
          <c:order val="5"/>
          <c:tx>
            <c:strRef>
              <c:f>分析!$B$13</c:f>
              <c:strCache>
                <c:ptCount val="1"/>
                <c:pt idx="0">
                  <c:v>年计划完成</c:v>
                </c:pt>
              </c:strCache>
            </c:strRef>
          </c:tx>
          <c:dLbls>
            <c:dLbl>
              <c:idx val="0"/>
              <c:layout>
                <c:manualLayout>
                  <c:x val="1.8688971870346599E-2"/>
                  <c:y val="-6.2764782687107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A1-407F-B671-BBD9FC728282}"/>
                </c:ext>
              </c:extLst>
            </c:dLbl>
            <c:dLbl>
              <c:idx val="1"/>
              <c:layout>
                <c:manualLayout>
                  <c:x val="1.80536473760863E-2"/>
                  <c:y val="6.050038223921659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4A1-407F-B671-BBD9FC728282}"/>
                </c:ext>
              </c:extLst>
            </c:dLbl>
            <c:dLbl>
              <c:idx val="2"/>
              <c:layout>
                <c:manualLayout>
                  <c:x val="-2.5783736959032699E-2"/>
                  <c:y val="-2.84118956935228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4A1-407F-B671-BBD9FC728282}"/>
                </c:ext>
              </c:extLst>
            </c:dLbl>
            <c:dLbl>
              <c:idx val="4"/>
              <c:layout>
                <c:manualLayout>
                  <c:x val="-5.4533560271240698E-3"/>
                  <c:y val="-4.23875321461298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4A1-407F-B671-BBD9FC728282}"/>
                </c:ext>
              </c:extLst>
            </c:dLbl>
            <c:dLbl>
              <c:idx val="5"/>
              <c:layout>
                <c:manualLayout>
                  <c:x val="1.5512349399045E-2"/>
                  <c:y val="-6.884030742290440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4A1-407F-B671-BBD9FC728282}"/>
                </c:ext>
              </c:extLst>
            </c:dLbl>
            <c:dLbl>
              <c:idx val="6"/>
              <c:layout>
                <c:manualLayout>
                  <c:x val="-2.07011420229813E-2"/>
                  <c:y val="2.73880783648930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4A1-407F-B671-BBD9FC728282}"/>
                </c:ext>
              </c:extLst>
            </c:dLbl>
            <c:dLbl>
              <c:idx val="7"/>
              <c:layout>
                <c:manualLayout>
                  <c:x val="1.42417004105244E-2"/>
                  <c:y val="-5.524229120167229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4A1-407F-B671-BBD9FC728282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分析!$C$3:$J$3</c:f>
              <c:strCache>
                <c:ptCount val="8"/>
                <c:pt idx="0">
                  <c:v>张三</c:v>
                </c:pt>
                <c:pt idx="1">
                  <c:v>李四</c:v>
                </c:pt>
                <c:pt idx="2">
                  <c:v>王五</c:v>
                </c:pt>
                <c:pt idx="3">
                  <c:v>木六</c:v>
                </c:pt>
                <c:pt idx="4">
                  <c:v>武5</c:v>
                </c:pt>
                <c:pt idx="5">
                  <c:v>任6</c:v>
                </c:pt>
                <c:pt idx="6">
                  <c:v>C大</c:v>
                </c:pt>
                <c:pt idx="7">
                  <c:v>潘五</c:v>
                </c:pt>
              </c:strCache>
            </c:strRef>
          </c:cat>
          <c:val>
            <c:numRef>
              <c:f>分析!$C$13:$J$13</c:f>
              <c:numCache>
                <c:formatCode>0.0%</c:formatCode>
                <c:ptCount val="8"/>
                <c:pt idx="0">
                  <c:v>3.4750000000000003E-2</c:v>
                </c:pt>
                <c:pt idx="1">
                  <c:v>6.2500000000000003E-3</c:v>
                </c:pt>
                <c:pt idx="2">
                  <c:v>2.3E-2</c:v>
                </c:pt>
                <c:pt idx="3">
                  <c:v>2.2608695652173914E-2</c:v>
                </c:pt>
                <c:pt idx="4">
                  <c:v>1.8749999999999999E-2</c:v>
                </c:pt>
                <c:pt idx="5">
                  <c:v>5.0000000000000001E-3</c:v>
                </c:pt>
                <c:pt idx="6">
                  <c:v>1.9259259259259261E-2</c:v>
                </c:pt>
                <c:pt idx="7">
                  <c:v>1.2916666666666667E-2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4A1-407F-B671-BBD9FC7282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281792"/>
        <c:axId val="187283328"/>
      </c:lineChart>
      <c:scatterChart>
        <c:scatterStyle val="lineMarker"/>
        <c:varyColors val="0"/>
        <c:ser>
          <c:idx val="6"/>
          <c:order val="6"/>
          <c:tx>
            <c:strRef>
              <c:f>分析!$B$11</c:f>
              <c:strCache>
                <c:ptCount val="1"/>
                <c:pt idx="0">
                  <c:v>累计收款</c:v>
                </c:pt>
              </c:strCache>
            </c:strRef>
          </c:tx>
          <c:spPr>
            <a:ln w="47625" cap="rnd" cmpd="sng" algn="ctr">
              <a:noFill/>
              <a:prstDash val="solid"/>
              <a:round/>
            </a:ln>
          </c:spPr>
          <c:dLbls>
            <c:dLbl>
              <c:idx val="0"/>
              <c:layout>
                <c:manualLayout>
                  <c:x val="-4.6114117890941497E-2"/>
                  <c:y val="-6.7210653532620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4A1-407F-B671-BBD9FC728282}"/>
                </c:ext>
              </c:extLst>
            </c:dLbl>
            <c:dLbl>
              <c:idx val="1"/>
              <c:layout>
                <c:manualLayout>
                  <c:x val="-3.4042954196713902E-2"/>
                  <c:y val="-0.1028357708314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4A1-407F-B671-BBD9FC728282}"/>
                </c:ext>
              </c:extLst>
            </c:dLbl>
            <c:dLbl>
              <c:idx val="2"/>
              <c:layout>
                <c:manualLayout>
                  <c:x val="-3.7219576328671802E-2"/>
                  <c:y val="-0.15599553368509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4A1-407F-B671-BBD9FC728282}"/>
                </c:ext>
              </c:extLst>
            </c:dLbl>
            <c:dLbl>
              <c:idx val="3"/>
              <c:layout>
                <c:manualLayout>
                  <c:x val="-2.7689710272141801E-2"/>
                  <c:y val="-8.46760328270344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4A1-407F-B671-BBD9FC728282}"/>
                </c:ext>
              </c:extLst>
            </c:dLbl>
            <c:dLbl>
              <c:idx val="4"/>
              <c:layout>
                <c:manualLayout>
                  <c:x val="-3.72195764983436E-2"/>
                  <c:y val="-6.55092052748114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4A1-407F-B671-BBD9FC728282}"/>
                </c:ext>
              </c:extLst>
            </c:dLbl>
            <c:dLbl>
              <c:idx val="5"/>
              <c:layout>
                <c:manualLayout>
                  <c:x val="-4.2937496267998997E-2"/>
                  <c:y val="-7.09260480986212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4A1-407F-B671-BBD9FC728282}"/>
                </c:ext>
              </c:extLst>
            </c:dLbl>
            <c:dLbl>
              <c:idx val="6"/>
              <c:layout>
                <c:manualLayout>
                  <c:x val="-3.2136981392620299E-2"/>
                  <c:y val="-0.187454089408133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4A1-407F-B671-BBD9FC728282}"/>
                </c:ext>
              </c:extLst>
            </c:dLbl>
            <c:dLbl>
              <c:idx val="7"/>
              <c:layout>
                <c:manualLayout>
                  <c:x val="-3.9125549981124497E-2"/>
                  <c:y val="-0.1065510289588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4A1-407F-B671-BBD9FC728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分析!$C$11:$J$11</c:f>
              <c:numCache>
                <c:formatCode>0.00_ </c:formatCode>
                <c:ptCount val="8"/>
                <c:pt idx="0">
                  <c:v>69.5</c:v>
                </c:pt>
                <c:pt idx="1">
                  <c:v>12.5</c:v>
                </c:pt>
                <c:pt idx="2">
                  <c:v>23</c:v>
                </c:pt>
                <c:pt idx="3">
                  <c:v>26</c:v>
                </c:pt>
                <c:pt idx="4">
                  <c:v>30</c:v>
                </c:pt>
                <c:pt idx="5">
                  <c:v>8</c:v>
                </c:pt>
                <c:pt idx="6">
                  <c:v>26</c:v>
                </c:pt>
                <c:pt idx="7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4A1-407F-B671-BBD9FC7282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87270272"/>
        <c:axId val="187271808"/>
      </c:scatterChart>
      <c:catAx>
        <c:axId val="1872702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7271808"/>
        <c:crosses val="autoZero"/>
        <c:auto val="0"/>
        <c:lblAlgn val="ctr"/>
        <c:lblOffset val="100"/>
        <c:tickLblSkip val="1"/>
        <c:noMultiLvlLbl val="0"/>
      </c:catAx>
      <c:valAx>
        <c:axId val="187271808"/>
        <c:scaling>
          <c:orientation val="minMax"/>
        </c:scaling>
        <c:delete val="0"/>
        <c:axPos val="l"/>
        <c:numFmt formatCode="0_ " sourceLinked="0"/>
        <c:majorTickMark val="in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7270272"/>
        <c:crosses val="autoZero"/>
        <c:crossBetween val="between"/>
      </c:valAx>
      <c:catAx>
        <c:axId val="18728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7283328"/>
        <c:crosses val="autoZero"/>
        <c:auto val="0"/>
        <c:lblAlgn val="ctr"/>
        <c:lblOffset val="100"/>
        <c:noMultiLvlLbl val="0"/>
      </c:catAx>
      <c:valAx>
        <c:axId val="187283328"/>
        <c:scaling>
          <c:orientation val="minMax"/>
        </c:scaling>
        <c:delete val="0"/>
        <c:axPos val="r"/>
        <c:numFmt formatCode="0%" sourceLinked="0"/>
        <c:majorTickMark val="in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7281792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147395262986459"/>
          <c:y val="0.83333559390080802"/>
          <c:w val="0.73951761256999304"/>
          <c:h val="6.66668475120646E-2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spPr>
            <a:gradFill rotWithShape="0">
              <a:gsLst>
                <a:gs pos="0">
                  <a:srgbClr val="00FFFF">
                    <a:gamma/>
                    <a:shade val="46275"/>
                    <a:invGamma/>
                  </a:srgbClr>
                </a:gs>
                <a:gs pos="50000">
                  <a:srgbClr val="00FFFF"/>
                </a:gs>
                <a:gs pos="100000">
                  <a:srgbClr val="00FF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67C-4E89-A098-460394350695}"/>
            </c:ext>
          </c:extLst>
        </c:ser>
        <c:ser>
          <c:idx val="0"/>
          <c:order val="1"/>
          <c:spPr>
            <a:gradFill rotWithShape="0">
              <a:gsLst>
                <a:gs pos="0">
                  <a:srgbClr val="FF9900">
                    <a:gamma/>
                    <a:shade val="46275"/>
                    <a:invGamma/>
                  </a:srgbClr>
                </a:gs>
                <a:gs pos="50000">
                  <a:srgbClr val="FF9900"/>
                </a:gs>
                <a:gs pos="100000">
                  <a:srgbClr val="FF990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67C-4E89-A098-460394350695}"/>
            </c:ext>
          </c:extLst>
        </c:ser>
        <c:ser>
          <c:idx val="2"/>
          <c:order val="2"/>
          <c:spPr>
            <a:gradFill rotWithShape="0">
              <a:gsLst>
                <a:gs pos="0">
                  <a:srgbClr val="99CC00">
                    <a:gamma/>
                    <a:shade val="46275"/>
                    <a:invGamma/>
                  </a:srgbClr>
                </a:gs>
                <a:gs pos="50000">
                  <a:srgbClr val="99CC00"/>
                </a:gs>
                <a:gs pos="100000">
                  <a:srgbClr val="99CC0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67C-4E89-A098-460394350695}"/>
            </c:ext>
          </c:extLst>
        </c:ser>
        <c:ser>
          <c:idx val="3"/>
          <c:order val="3"/>
          <c:spPr>
            <a:gradFill rotWithShape="0">
              <a:gsLst>
                <a:gs pos="0">
                  <a:srgbClr val="FF99CC">
                    <a:gamma/>
                    <a:shade val="46275"/>
                    <a:invGamma/>
                  </a:srgbClr>
                </a:gs>
                <a:gs pos="50000">
                  <a:srgbClr val="FF99CC"/>
                </a:gs>
                <a:gs pos="100000">
                  <a:srgbClr val="FF99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[1]完成率图表!#REF!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367C-4E89-A098-460394350695}"/>
            </c:ext>
          </c:extLst>
        </c:ser>
        <c:ser>
          <c:idx val="4"/>
          <c:order val="4"/>
          <c:spPr>
            <a:gradFill rotWithShape="0">
              <a:gsLst>
                <a:gs pos="0">
                  <a:srgbClr val="660066"/>
                </a:gs>
                <a:gs pos="50000">
                  <a:srgbClr val="FFFF99"/>
                </a:gs>
                <a:gs pos="100000">
                  <a:srgbClr val="660066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rgbClr val="993366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[1]完成率图表!#REF!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367C-4E89-A098-460394350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026816"/>
        <c:axId val="184104064"/>
      </c:barChart>
      <c:lineChart>
        <c:grouping val="standard"/>
        <c:varyColors val="0"/>
        <c:ser>
          <c:idx val="5"/>
          <c:order val="5"/>
          <c:spPr>
            <a:ln w="12700" cap="rnd" cmpd="sng" algn="ctr">
              <a:solidFill>
                <a:srgbClr val="800000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rgbClr val="800000"/>
              </a:solidFill>
              <a:ln w="9525" cap="flat" cmpd="sng" algn="ctr">
                <a:solidFill>
                  <a:srgbClr val="800000"/>
                </a:solidFill>
                <a:prstDash val="solid"/>
                <a:round/>
              </a:ln>
            </c:spPr>
          </c:marker>
          <c:dLbls>
            <c:numFmt formatCode="0%" sourceLinked="0"/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[1]完成率图表!#REF!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[1]完成率图表!#REF!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367C-4E89-A098-4603943506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4105216"/>
        <c:axId val="184111104"/>
      </c:lineChart>
      <c:catAx>
        <c:axId val="1870268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华文隶书" panose="02010800040101010101" charset="-122"/>
                <a:ea typeface="华文隶书" panose="02010800040101010101" charset="-122"/>
                <a:cs typeface="华文隶书" panose="02010800040101010101" charset="-122"/>
              </a:defRPr>
            </a:pPr>
            <a:endParaRPr lang="zh-CN"/>
          </a:p>
        </c:txPr>
        <c:crossAx val="184104064"/>
        <c:crosses val="autoZero"/>
        <c:auto val="0"/>
        <c:lblAlgn val="ctr"/>
        <c:lblOffset val="100"/>
        <c:tickLblSkip val="1"/>
        <c:noMultiLvlLbl val="0"/>
      </c:catAx>
      <c:valAx>
        <c:axId val="184104064"/>
        <c:scaling>
          <c:orientation val="minMax"/>
        </c:scaling>
        <c:delete val="0"/>
        <c:axPos val="l"/>
        <c:numFmt formatCode="0_ " sourceLinked="0"/>
        <c:majorTickMark val="in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87026816"/>
        <c:crosses val="autoZero"/>
        <c:crossBetween val="between"/>
      </c:valAx>
      <c:catAx>
        <c:axId val="184105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111104"/>
        <c:crosses val="autoZero"/>
        <c:auto val="0"/>
        <c:lblAlgn val="ctr"/>
        <c:lblOffset val="100"/>
        <c:noMultiLvlLbl val="0"/>
      </c:catAx>
      <c:valAx>
        <c:axId val="184111104"/>
        <c:scaling>
          <c:orientation val="minMax"/>
        </c:scaling>
        <c:delete val="0"/>
        <c:axPos val="r"/>
        <c:numFmt formatCode="0%" sourceLinked="0"/>
        <c:majorTickMark val="in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184105216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1470" b="0" i="0" u="none" strike="noStrike" kern="1200" baseline="0">
              <a:solidFill>
                <a:srgbClr val="000000"/>
              </a:solidFill>
              <a:latin typeface="华文隶书" panose="02010800040101010101" charset="-122"/>
              <a:ea typeface="华文隶书" panose="02010800040101010101" charset="-122"/>
              <a:cs typeface="华文隶书" panose="02010800040101010101" charset="-122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  <a:round/>
    </a:ln>
  </c:spPr>
  <c:txPr>
    <a:bodyPr/>
    <a:lstStyle/>
    <a:p>
      <a:pPr>
        <a:defRPr lang="zh-CN" sz="100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25353;&#23458;&#25143;&#26597;&#35810;!A1"/><Relationship Id="rId2" Type="http://schemas.openxmlformats.org/officeDocument/2006/relationships/hyperlink" Target="#&#20998;&#26512;!A1"/><Relationship Id="rId1" Type="http://schemas.openxmlformats.org/officeDocument/2006/relationships/hyperlink" Target="#&#35760;&#24405;!A1"/><Relationship Id="rId4" Type="http://schemas.openxmlformats.org/officeDocument/2006/relationships/hyperlink" Target="#&#25353;&#19994;&#21153;&#21592;&#26597;&#35810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507365</xdr:colOff>
      <xdr:row>2</xdr:row>
      <xdr:rowOff>247650</xdr:rowOff>
    </xdr:from>
    <xdr:ext cx="1478280" cy="397510"/>
    <xdr:sp macro="" textlink="">
      <xdr:nvSpPr>
        <xdr:cNvPr id="2" name="矩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78915" y="1323975"/>
          <a:ext cx="1478280" cy="39751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zh-CN" altLang="en-US" sz="1800" b="0" cap="none" spc="0">
              <a:ln>
                <a:noFill/>
              </a:ln>
              <a:solidFill>
                <a:schemeClr val="tx1"/>
              </a:solidFill>
              <a:effectLst/>
              <a:latin typeface="微软雅黑" panose="020B0503020204020204" charset="-122"/>
              <a:ea typeface="微软雅黑" panose="020B0503020204020204" charset="-122"/>
            </a:rPr>
            <a:t>记录</a:t>
          </a:r>
        </a:p>
      </xdr:txBody>
    </xdr:sp>
    <xdr:clientData/>
  </xdr:oneCellAnchor>
  <xdr:oneCellAnchor>
    <xdr:from>
      <xdr:col>2</xdr:col>
      <xdr:colOff>507396</xdr:colOff>
      <xdr:row>8</xdr:row>
      <xdr:rowOff>119355</xdr:rowOff>
    </xdr:from>
    <xdr:ext cx="1481066" cy="392415"/>
    <xdr:sp macro="" textlink="">
      <xdr:nvSpPr>
        <xdr:cNvPr id="3" name="矩形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78915" y="2795270"/>
          <a:ext cx="1480820" cy="39243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zh-CN" altLang="en-US" sz="1800" b="0" cap="none" spc="0">
              <a:ln>
                <a:noFill/>
              </a:ln>
              <a:solidFill>
                <a:schemeClr val="tx1"/>
              </a:solidFill>
              <a:effectLst/>
              <a:latin typeface="微软雅黑" panose="020B0503020204020204" charset="-122"/>
              <a:ea typeface="微软雅黑" panose="020B0503020204020204" charset="-122"/>
            </a:rPr>
            <a:t>分析</a:t>
          </a:r>
        </a:p>
      </xdr:txBody>
    </xdr:sp>
    <xdr:clientData/>
  </xdr:oneCellAnchor>
  <xdr:oneCellAnchor>
    <xdr:from>
      <xdr:col>4</xdr:col>
      <xdr:colOff>191691</xdr:colOff>
      <xdr:row>8</xdr:row>
      <xdr:rowOff>119355</xdr:rowOff>
    </xdr:from>
    <xdr:ext cx="1481066" cy="392415"/>
    <xdr:sp macro="" textlink="">
      <xdr:nvSpPr>
        <xdr:cNvPr id="4" name="矩形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72660" y="2795270"/>
          <a:ext cx="1481455" cy="39243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zh-CN" altLang="en-US" sz="1800" b="0" cap="none" spc="0">
              <a:ln>
                <a:noFill/>
              </a:ln>
              <a:solidFill>
                <a:schemeClr val="tx1"/>
              </a:solidFill>
              <a:effectLst/>
              <a:latin typeface="微软雅黑" panose="020B0503020204020204" charset="-122"/>
              <a:ea typeface="微软雅黑" panose="020B0503020204020204" charset="-122"/>
            </a:rPr>
            <a:t>按客户查询</a:t>
          </a:r>
        </a:p>
      </xdr:txBody>
    </xdr:sp>
    <xdr:clientData/>
  </xdr:oneCellAnchor>
  <xdr:oneCellAnchor>
    <xdr:from>
      <xdr:col>4</xdr:col>
      <xdr:colOff>191691</xdr:colOff>
      <xdr:row>2</xdr:row>
      <xdr:rowOff>248213</xdr:rowOff>
    </xdr:from>
    <xdr:ext cx="1481066" cy="359073"/>
    <xdr:sp macro="" textlink="">
      <xdr:nvSpPr>
        <xdr:cNvPr id="5" name="矩形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72660" y="1323975"/>
          <a:ext cx="1481455" cy="35941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zh-CN" altLang="en-US" sz="1600" b="0" cap="none" spc="0">
              <a:ln>
                <a:noFill/>
              </a:ln>
              <a:solidFill>
                <a:schemeClr val="tx1"/>
              </a:solidFill>
              <a:effectLst/>
              <a:latin typeface="微软雅黑" panose="020B0503020204020204" charset="-122"/>
              <a:ea typeface="微软雅黑" panose="020B0503020204020204" charset="-122"/>
            </a:rPr>
            <a:t>按业务员查询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15</xdr:row>
      <xdr:rowOff>0</xdr:rowOff>
    </xdr:from>
    <xdr:to>
      <xdr:col>12</xdr:col>
      <xdr:colOff>0</xdr:colOff>
      <xdr:row>15</xdr:row>
      <xdr:rowOff>0</xdr:rowOff>
    </xdr:to>
    <xdr:graphicFrame macro="">
      <xdr:nvGraphicFramePr>
        <xdr:cNvPr id="3074" name="Chart 2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14</xdr:row>
      <xdr:rowOff>114300</xdr:rowOff>
    </xdr:from>
    <xdr:to>
      <xdr:col>9</xdr:col>
      <xdr:colOff>695325</xdr:colOff>
      <xdr:row>30</xdr:row>
      <xdr:rowOff>180975</xdr:rowOff>
    </xdr:to>
    <xdr:graphicFrame macro="">
      <xdr:nvGraphicFramePr>
        <xdr:cNvPr id="3077" name="Chart 5">
          <a:extLst>
            <a:ext uri="{FF2B5EF4-FFF2-40B4-BE49-F238E27FC236}">
              <a16:creationId xmlns:a16="http://schemas.microsoft.com/office/drawing/2014/main" id="{00000000-0008-0000-0300-0000050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12</xdr:col>
      <xdr:colOff>0</xdr:colOff>
      <xdr:row>15</xdr:row>
      <xdr:rowOff>0</xdr:rowOff>
    </xdr:to>
    <xdr:graphicFrame macro="">
      <xdr:nvGraphicFramePr>
        <xdr:cNvPr id="3078" name="Chart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3398;&#20064;&#36164;&#26009;/&#20154;&#20107;&#31649;&#29702;&#31995;&#32479;1/&#20154;&#20107;&#26723;&#26696;&#20449;&#24687;&#31995;&#32479;-&#65288;&#20989;&#25968;&#33258;&#21160;&#27719;&#24635;&#6528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24555;&#30424;/&#20154;&#20107;&#31649;&#29702;/001/&#20154;&#20107;&#26723;&#26696;&#20449;&#24687;&#31995;&#32479;-&#65288;&#20989;&#25968;&#33258;&#21160;&#27719;&#24635;&#652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bb\&#22791;\0205&#26376;&#32771;&#26680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\2001&#25991;&#20214;\&#32771;&#26680;\&#26376;&#32771;01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个人查询"/>
      <sheetName val="单位查询"/>
      <sheetName val="退休查询"/>
      <sheetName val="基本信息"/>
      <sheetName val="统计"/>
      <sheetName val="查询打印"/>
      <sheetName val="信息打印"/>
      <sheetName val="身份证码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个人查询"/>
      <sheetName val="单位查询"/>
      <sheetName val="退休查询"/>
      <sheetName val="基本信息"/>
      <sheetName val="统计"/>
      <sheetName val="查询打印"/>
      <sheetName val="信息打印"/>
      <sheetName val="身份证码表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计划"/>
      <sheetName val="交叉"/>
      <sheetName val="GBS保费"/>
      <sheetName val="汇总"/>
      <sheetName val="目录"/>
      <sheetName val="2002年5月1日-31日"/>
      <sheetName val="占比表"/>
      <sheetName val="5月份团体业务"/>
      <sheetName val="活动率"/>
      <sheetName val="营业部合格率"/>
      <sheetName val="5月排名"/>
      <sheetName val="营业部"/>
      <sheetName val="支公司"/>
      <sheetName val="支公司累计"/>
      <sheetName val="营业部累计"/>
      <sheetName val="分析数据"/>
      <sheetName val="核保人力"/>
      <sheetName val="同业"/>
      <sheetName val="简报"/>
      <sheetName val="金帆杯"/>
      <sheetName val="完成率图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营业部任务"/>
      <sheetName val="目录"/>
      <sheetName val="Sheet2"/>
      <sheetName val="ktf"/>
      <sheetName val="Sheet3"/>
      <sheetName val="GBS保费"/>
      <sheetName val="汇总"/>
      <sheetName val="2001年12月1-31日"/>
      <sheetName val="12月份团体业务"/>
      <sheetName val="活动率"/>
      <sheetName val="营业部合格率"/>
      <sheetName val="占比表"/>
      <sheetName val="Sheet4"/>
      <sheetName val="Sheet1"/>
      <sheetName val="12月排名"/>
      <sheetName val="营业部"/>
      <sheetName val="合格活动率"/>
      <sheetName val="支公司"/>
      <sheetName val="图表1"/>
      <sheetName val="分析杂项"/>
      <sheetName val="市场分布图"/>
      <sheetName val="同业"/>
      <sheetName val="核保人力"/>
      <sheetName val="承保"/>
      <sheetName val="非传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7"/>
  <sheetViews>
    <sheetView showGridLines="0" tabSelected="1" zoomScale="105" zoomScaleNormal="105" workbookViewId="0">
      <selection activeCell="I7" sqref="I7"/>
    </sheetView>
  </sheetViews>
  <sheetFormatPr defaultColWidth="9" defaultRowHeight="17.25" x14ac:dyDescent="0.2"/>
  <cols>
    <col min="1" max="1" width="2.5" style="102" customWidth="1"/>
    <col min="2" max="2" width="10.25" style="102" customWidth="1"/>
    <col min="3" max="3" width="24.875" style="102" customWidth="1"/>
    <col min="4" max="4" width="22.5" style="102" customWidth="1"/>
    <col min="5" max="5" width="17.5" style="102" customWidth="1"/>
    <col min="6" max="6" width="14.5" style="102" customWidth="1"/>
    <col min="7" max="7" width="18.5" style="102" customWidth="1"/>
    <col min="8" max="8" width="3" style="102" customWidth="1"/>
    <col min="9" max="9" width="17.625" style="102" customWidth="1"/>
    <col min="10" max="16384" width="9" style="102"/>
  </cols>
  <sheetData>
    <row r="1" spans="2:9" ht="63.75" customHeight="1" x14ac:dyDescent="0.2">
      <c r="B1" s="130" t="s">
        <v>0</v>
      </c>
      <c r="C1" s="130"/>
      <c r="D1" s="130"/>
      <c r="E1" s="130"/>
      <c r="F1" s="130"/>
      <c r="G1" s="130"/>
    </row>
    <row r="2" spans="2:9" s="101" customFormat="1" ht="21" customHeight="1" x14ac:dyDescent="0.2">
      <c r="B2" s="103"/>
      <c r="C2" s="103"/>
      <c r="D2" s="104"/>
      <c r="E2" s="104"/>
      <c r="F2" s="104"/>
      <c r="G2" s="104"/>
      <c r="H2" s="105"/>
      <c r="I2" s="105"/>
    </row>
    <row r="3" spans="2:9" s="101" customFormat="1" ht="21" customHeight="1" x14ac:dyDescent="0.2">
      <c r="B3" s="103"/>
      <c r="C3" s="104"/>
      <c r="D3" s="104"/>
      <c r="E3" s="104"/>
      <c r="F3" s="104"/>
      <c r="G3" s="104"/>
      <c r="H3" s="105"/>
      <c r="I3" s="105"/>
    </row>
    <row r="4" spans="2:9" s="101" customFormat="1" ht="21" customHeight="1" x14ac:dyDescent="0.2">
      <c r="B4" s="103"/>
      <c r="C4" s="104"/>
      <c r="D4" s="104"/>
      <c r="E4" s="104"/>
      <c r="F4" s="104"/>
      <c r="G4" s="104"/>
      <c r="H4" s="105"/>
      <c r="I4" s="105"/>
    </row>
    <row r="5" spans="2:9" s="101" customFormat="1" ht="21" customHeight="1" x14ac:dyDescent="0.2">
      <c r="B5" s="104"/>
      <c r="C5" s="104"/>
      <c r="D5" s="104"/>
      <c r="E5" s="104"/>
      <c r="F5" s="104"/>
      <c r="G5" s="104"/>
      <c r="H5" s="105"/>
      <c r="I5" s="105"/>
    </row>
    <row r="6" spans="2:9" s="101" customFormat="1" ht="21" customHeight="1" x14ac:dyDescent="0.2">
      <c r="B6" s="104"/>
      <c r="C6" s="104"/>
      <c r="D6" s="104"/>
      <c r="E6" s="104"/>
      <c r="F6" s="104"/>
      <c r="G6" s="104"/>
      <c r="H6" s="105"/>
      <c r="I6" s="105"/>
    </row>
    <row r="7" spans="2:9" s="101" customFormat="1" ht="21" customHeight="1" x14ac:dyDescent="0.2">
      <c r="B7" s="104"/>
      <c r="C7" s="104"/>
      <c r="D7" s="104"/>
      <c r="E7" s="104"/>
      <c r="F7" s="104"/>
      <c r="G7" s="104"/>
      <c r="H7" s="105"/>
      <c r="I7" s="105"/>
    </row>
    <row r="8" spans="2:9" s="101" customFormat="1" ht="21" customHeight="1" x14ac:dyDescent="0.2">
      <c r="B8" s="104"/>
      <c r="C8" s="104"/>
      <c r="D8" s="104"/>
      <c r="E8" s="104"/>
      <c r="F8" s="104"/>
      <c r="G8" s="104"/>
      <c r="H8" s="105"/>
      <c r="I8" s="105"/>
    </row>
    <row r="9" spans="2:9" s="101" customFormat="1" ht="21" customHeight="1" x14ac:dyDescent="0.2">
      <c r="B9" s="104"/>
      <c r="C9" s="104"/>
      <c r="D9" s="104"/>
      <c r="E9" s="104"/>
      <c r="F9" s="104"/>
      <c r="G9" s="104"/>
      <c r="H9" s="105"/>
      <c r="I9" s="105"/>
    </row>
    <row r="10" spans="2:9" s="101" customFormat="1" ht="21" customHeight="1" x14ac:dyDescent="0.2">
      <c r="B10" s="104"/>
      <c r="C10" s="104"/>
      <c r="D10" s="104"/>
      <c r="E10" s="104"/>
      <c r="F10" s="104"/>
      <c r="G10" s="104"/>
      <c r="H10" s="105"/>
      <c r="I10" s="105"/>
    </row>
    <row r="11" spans="2:9" s="101" customFormat="1" ht="21" customHeight="1" x14ac:dyDescent="0.2">
      <c r="B11" s="104"/>
      <c r="C11" s="104"/>
      <c r="D11" s="104"/>
      <c r="E11" s="104"/>
      <c r="F11" s="104"/>
      <c r="G11" s="104"/>
      <c r="H11" s="105"/>
      <c r="I11" s="105"/>
    </row>
    <row r="12" spans="2:9" s="101" customFormat="1" ht="21" customHeight="1" x14ac:dyDescent="0.2">
      <c r="B12" s="104"/>
      <c r="C12" s="104"/>
      <c r="D12" s="104"/>
      <c r="E12" s="104"/>
      <c r="F12" s="104"/>
      <c r="G12" s="104"/>
      <c r="H12" s="105"/>
      <c r="I12" s="105"/>
    </row>
    <row r="13" spans="2:9" s="101" customFormat="1" ht="21" customHeight="1" x14ac:dyDescent="0.2">
      <c r="B13" s="104"/>
      <c r="C13" s="104"/>
      <c r="D13" s="104"/>
      <c r="E13" s="104"/>
      <c r="F13" s="104"/>
      <c r="G13" s="104"/>
      <c r="H13" s="105"/>
      <c r="I13" s="105"/>
    </row>
    <row r="14" spans="2:9" s="101" customFormat="1" ht="21" customHeight="1" x14ac:dyDescent="0.2">
      <c r="B14" s="104"/>
      <c r="C14" s="104"/>
      <c r="D14" s="104"/>
      <c r="E14" s="104"/>
      <c r="F14" s="131" t="s">
        <v>1</v>
      </c>
      <c r="G14" s="131"/>
      <c r="H14" s="105"/>
      <c r="I14" s="105"/>
    </row>
    <row r="15" spans="2:9" ht="21" customHeight="1" x14ac:dyDescent="0.2">
      <c r="B15" s="106"/>
      <c r="C15" s="106"/>
      <c r="D15" s="106"/>
      <c r="E15" s="106"/>
      <c r="F15" s="106"/>
      <c r="G15" s="106"/>
      <c r="H15" s="107"/>
      <c r="I15" s="107"/>
    </row>
    <row r="16" spans="2:9" ht="21" customHeight="1" x14ac:dyDescent="0.2">
      <c r="B16" s="106"/>
      <c r="C16" s="106"/>
      <c r="D16" s="106"/>
      <c r="E16" s="106"/>
      <c r="F16" s="106"/>
      <c r="G16" s="106"/>
      <c r="H16" s="107"/>
      <c r="I16" s="107"/>
    </row>
    <row r="17" spans="2:9" ht="21" customHeight="1" x14ac:dyDescent="0.2">
      <c r="B17" s="107"/>
      <c r="C17" s="107"/>
      <c r="D17" s="107"/>
      <c r="E17" s="107"/>
      <c r="F17" s="107"/>
      <c r="G17" s="107"/>
      <c r="H17" s="107"/>
      <c r="I17" s="107"/>
    </row>
  </sheetData>
  <mergeCells count="2">
    <mergeCell ref="B1:G1"/>
    <mergeCell ref="F14:G14"/>
  </mergeCells>
  <phoneticPr fontId="29" type="noConversion"/>
  <pageMargins left="1.1395833333333301" right="0.75" top="1.11944444444444" bottom="1" header="0.5" footer="0.5"/>
  <pageSetup paperSize="9" orientation="landscape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6"/>
  <sheetViews>
    <sheetView showZeros="0" workbookViewId="0">
      <pane xSplit="2" ySplit="1" topLeftCell="C2" activePane="bottomRight" state="frozen"/>
      <selection pane="topRight"/>
      <selection pane="bottomLeft"/>
      <selection pane="bottomRight" activeCell="M20" sqref="M20"/>
    </sheetView>
  </sheetViews>
  <sheetFormatPr defaultColWidth="9" defaultRowHeight="17.25" x14ac:dyDescent="0.3"/>
  <cols>
    <col min="1" max="1" width="8.5" style="76" customWidth="1"/>
    <col min="2" max="2" width="9.5" style="76" customWidth="1"/>
    <col min="3" max="3" width="6.375" style="76" customWidth="1"/>
    <col min="4" max="4" width="9.5" style="77" customWidth="1"/>
    <col min="5" max="5" width="9.5" style="76" customWidth="1"/>
    <col min="6" max="6" width="6.75" style="76" customWidth="1"/>
    <col min="7" max="7" width="8.375" style="76" customWidth="1"/>
    <col min="8" max="8" width="10" style="76" customWidth="1"/>
    <col min="9" max="9" width="7" style="76" customWidth="1"/>
    <col min="10" max="10" width="9.125" style="76" customWidth="1"/>
    <col min="11" max="12" width="9" style="76"/>
    <col min="13" max="13" width="9.875" style="76"/>
    <col min="14" max="14" width="4.875" style="76" customWidth="1"/>
    <col min="15" max="15" width="11" style="76" customWidth="1"/>
    <col min="16" max="17" width="9" style="76"/>
    <col min="18" max="18" width="6.5" style="76" customWidth="1"/>
    <col min="19" max="19" width="9.375" style="76" customWidth="1"/>
    <col min="20" max="20" width="9" style="76"/>
    <col min="21" max="21" width="16.375" style="76" customWidth="1"/>
    <col min="22" max="16384" width="9" style="76"/>
  </cols>
  <sheetData>
    <row r="1" spans="1:21" ht="34.5" x14ac:dyDescent="0.3">
      <c r="A1" s="108" t="s">
        <v>2</v>
      </c>
      <c r="B1" s="78" t="s">
        <v>3</v>
      </c>
      <c r="C1" s="108" t="s">
        <v>4</v>
      </c>
      <c r="D1" s="79" t="s">
        <v>5</v>
      </c>
      <c r="E1" s="79" t="s">
        <v>6</v>
      </c>
      <c r="F1" s="109" t="s">
        <v>7</v>
      </c>
      <c r="G1" s="109" t="s">
        <v>8</v>
      </c>
      <c r="H1" s="79" t="s">
        <v>9</v>
      </c>
      <c r="I1" s="79" t="s">
        <v>10</v>
      </c>
      <c r="J1" s="109" t="s">
        <v>11</v>
      </c>
      <c r="K1" s="109" t="s">
        <v>12</v>
      </c>
      <c r="L1" s="79" t="s">
        <v>13</v>
      </c>
      <c r="M1" s="110" t="s">
        <v>14</v>
      </c>
      <c r="N1" s="88" t="s">
        <v>15</v>
      </c>
      <c r="O1" s="111" t="s">
        <v>16</v>
      </c>
      <c r="P1" s="89" t="s">
        <v>17</v>
      </c>
      <c r="Q1" s="89" t="s">
        <v>18</v>
      </c>
      <c r="R1" s="89" t="s">
        <v>19</v>
      </c>
      <c r="S1" s="99" t="s">
        <v>20</v>
      </c>
      <c r="U1" s="100">
        <f ca="1">NOW()</f>
        <v>43616.458320601851</v>
      </c>
    </row>
    <row r="2" spans="1:21" ht="18" x14ac:dyDescent="0.35">
      <c r="A2" s="80">
        <v>39113</v>
      </c>
      <c r="B2" s="81" t="s">
        <v>21</v>
      </c>
      <c r="C2" s="112" t="s">
        <v>22</v>
      </c>
      <c r="D2" s="82">
        <v>39084</v>
      </c>
      <c r="E2" s="113" t="s">
        <v>23</v>
      </c>
      <c r="F2" s="83" t="s">
        <v>24</v>
      </c>
      <c r="G2" s="84">
        <v>2000</v>
      </c>
      <c r="H2" s="84">
        <v>15000</v>
      </c>
      <c r="I2" s="90">
        <v>1</v>
      </c>
      <c r="J2" s="91">
        <v>11500</v>
      </c>
      <c r="K2" s="92">
        <f t="shared" ref="K2:K12" si="0">G2+H2-J2</f>
        <v>5500</v>
      </c>
      <c r="L2" s="93">
        <v>60</v>
      </c>
      <c r="M2" s="94">
        <f>D2+L2</f>
        <v>39144</v>
      </c>
      <c r="N2" s="95" t="str">
        <f ca="1">IF(M2=0,0,IF(M2&gt;$U$1,"否","是"))</f>
        <v>是</v>
      </c>
      <c r="O2" s="96">
        <f ca="1">IF($U$1-$M2&lt;0,$K2,0)</f>
        <v>0</v>
      </c>
      <c r="P2" s="97">
        <f ca="1">IF(AND($U$1-$M2&gt;0,$U$1-$M2&lt;=30),$K2,0)</f>
        <v>0</v>
      </c>
      <c r="Q2" s="97">
        <f ca="1">IF(AND($U$1-$M2&gt;30,$U$1-$M2&lt;=60),$K2,0)</f>
        <v>0</v>
      </c>
      <c r="R2" s="97">
        <f ca="1">IF(AND($U$1-$M2&gt;60,$U$1-$M2&lt;=90),$K2,0)</f>
        <v>0</v>
      </c>
      <c r="S2" s="97">
        <f ca="1">IF($U$1-$M2&gt;90,K2,0)</f>
        <v>5500</v>
      </c>
    </row>
    <row r="3" spans="1:21" ht="18" x14ac:dyDescent="0.35">
      <c r="A3" s="80">
        <v>39113</v>
      </c>
      <c r="B3" s="81" t="s">
        <v>25</v>
      </c>
      <c r="C3" s="81" t="s">
        <v>26</v>
      </c>
      <c r="D3" s="82">
        <v>39141</v>
      </c>
      <c r="E3" s="113" t="s">
        <v>27</v>
      </c>
      <c r="F3" s="83" t="s">
        <v>24</v>
      </c>
      <c r="G3" s="84">
        <v>1500</v>
      </c>
      <c r="H3" s="84">
        <v>14000</v>
      </c>
      <c r="I3" s="90">
        <v>1</v>
      </c>
      <c r="J3" s="91">
        <v>12500</v>
      </c>
      <c r="K3" s="92">
        <f t="shared" si="0"/>
        <v>3000</v>
      </c>
      <c r="L3" s="93">
        <v>90</v>
      </c>
      <c r="M3" s="94">
        <f>D3+L3</f>
        <v>39231</v>
      </c>
      <c r="N3" s="95" t="str">
        <f t="shared" ref="N3:N16" ca="1" si="1">IF(M3=0,0,IF(M3&gt;$U$1,"否","是"))</f>
        <v>是</v>
      </c>
      <c r="O3" s="96">
        <f t="shared" ref="O3:O16" ca="1" si="2">IF($U$1-$M3&lt;0,$K3,0)</f>
        <v>0</v>
      </c>
      <c r="P3" s="97">
        <f t="shared" ref="P3:P16" ca="1" si="3">IF(AND($U$1-$M3&gt;0,$U$1-$M3&lt;=30),$K3,0)</f>
        <v>0</v>
      </c>
      <c r="Q3" s="97">
        <f t="shared" ref="Q3:Q16" ca="1" si="4">IF(AND($U$1-$M3&gt;30,$U$1-$M3&lt;=60),$K3,0)</f>
        <v>0</v>
      </c>
      <c r="R3" s="97">
        <f t="shared" ref="R3:R16" ca="1" si="5">IF(AND($U$1-$M3&gt;60,$U$1-$M3&lt;=90),$K3,0)</f>
        <v>0</v>
      </c>
      <c r="S3" s="97">
        <f t="shared" ref="S3:S16" ca="1" si="6">IF($U$1-$M3&gt;90,K3,0)</f>
        <v>3000</v>
      </c>
    </row>
    <row r="4" spans="1:21" ht="18" x14ac:dyDescent="0.35">
      <c r="A4" s="80">
        <v>39113</v>
      </c>
      <c r="B4" s="81" t="s">
        <v>25</v>
      </c>
      <c r="C4" s="81" t="s">
        <v>22</v>
      </c>
      <c r="D4" s="82">
        <v>39142</v>
      </c>
      <c r="E4" s="113" t="s">
        <v>28</v>
      </c>
      <c r="F4" s="83" t="s">
        <v>29</v>
      </c>
      <c r="G4" s="84">
        <v>10800</v>
      </c>
      <c r="H4" s="84">
        <v>16000</v>
      </c>
      <c r="I4" s="90">
        <v>1</v>
      </c>
      <c r="J4" s="91">
        <v>22000</v>
      </c>
      <c r="K4" s="92">
        <f t="shared" si="0"/>
        <v>4800</v>
      </c>
      <c r="L4" s="93">
        <v>248</v>
      </c>
      <c r="M4" s="94">
        <f t="shared" ref="M4:M12" si="7">D4+L4</f>
        <v>39390</v>
      </c>
      <c r="N4" s="95" t="str">
        <f t="shared" ca="1" si="1"/>
        <v>是</v>
      </c>
      <c r="O4" s="96">
        <f t="shared" ca="1" si="2"/>
        <v>0</v>
      </c>
      <c r="P4" s="97">
        <f t="shared" ca="1" si="3"/>
        <v>0</v>
      </c>
      <c r="Q4" s="97">
        <f t="shared" ca="1" si="4"/>
        <v>0</v>
      </c>
      <c r="R4" s="97">
        <f t="shared" ca="1" si="5"/>
        <v>0</v>
      </c>
      <c r="S4" s="97">
        <f t="shared" ca="1" si="6"/>
        <v>4800</v>
      </c>
    </row>
    <row r="5" spans="1:21" ht="18" x14ac:dyDescent="0.35">
      <c r="A5" s="80">
        <v>39113</v>
      </c>
      <c r="B5" s="112" t="s">
        <v>21</v>
      </c>
      <c r="C5" s="81" t="s">
        <v>30</v>
      </c>
      <c r="D5" s="82">
        <v>39113</v>
      </c>
      <c r="E5" s="113" t="s">
        <v>31</v>
      </c>
      <c r="F5" s="83" t="s">
        <v>32</v>
      </c>
      <c r="G5" s="84">
        <v>2000</v>
      </c>
      <c r="H5" s="84">
        <v>28000</v>
      </c>
      <c r="I5" s="90">
        <v>1</v>
      </c>
      <c r="J5" s="91">
        <v>26000</v>
      </c>
      <c r="K5" s="92">
        <f t="shared" si="0"/>
        <v>4000</v>
      </c>
      <c r="L5" s="93">
        <v>360</v>
      </c>
      <c r="M5" s="94">
        <f t="shared" si="7"/>
        <v>39473</v>
      </c>
      <c r="N5" s="95" t="str">
        <f t="shared" ca="1" si="1"/>
        <v>是</v>
      </c>
      <c r="O5" s="96">
        <f t="shared" ca="1" si="2"/>
        <v>0</v>
      </c>
      <c r="P5" s="97">
        <f t="shared" ca="1" si="3"/>
        <v>0</v>
      </c>
      <c r="Q5" s="97">
        <f t="shared" ca="1" si="4"/>
        <v>0</v>
      </c>
      <c r="R5" s="97">
        <f t="shared" ca="1" si="5"/>
        <v>0</v>
      </c>
      <c r="S5" s="97">
        <f t="shared" ca="1" si="6"/>
        <v>4000</v>
      </c>
    </row>
    <row r="6" spans="1:21" ht="18" x14ac:dyDescent="0.35">
      <c r="A6" s="80">
        <v>39115</v>
      </c>
      <c r="B6" s="81" t="s">
        <v>33</v>
      </c>
      <c r="C6" s="81" t="s">
        <v>22</v>
      </c>
      <c r="D6" s="82">
        <v>39121</v>
      </c>
      <c r="E6" s="113" t="s">
        <v>34</v>
      </c>
      <c r="F6" s="113" t="s">
        <v>32</v>
      </c>
      <c r="G6" s="84">
        <v>5000</v>
      </c>
      <c r="H6" s="84">
        <v>19000</v>
      </c>
      <c r="I6" s="90">
        <v>2</v>
      </c>
      <c r="J6" s="91">
        <v>21000</v>
      </c>
      <c r="K6" s="92">
        <f t="shared" si="0"/>
        <v>3000</v>
      </c>
      <c r="L6" s="93">
        <v>30</v>
      </c>
      <c r="M6" s="94">
        <f t="shared" si="7"/>
        <v>39151</v>
      </c>
      <c r="N6" s="95" t="str">
        <f t="shared" ca="1" si="1"/>
        <v>是</v>
      </c>
      <c r="O6" s="96">
        <f t="shared" ca="1" si="2"/>
        <v>0</v>
      </c>
      <c r="P6" s="97">
        <f t="shared" ca="1" si="3"/>
        <v>0</v>
      </c>
      <c r="Q6" s="97">
        <f t="shared" ca="1" si="4"/>
        <v>0</v>
      </c>
      <c r="R6" s="97">
        <f t="shared" ca="1" si="5"/>
        <v>0</v>
      </c>
      <c r="S6" s="97">
        <f t="shared" ca="1" si="6"/>
        <v>3000</v>
      </c>
    </row>
    <row r="7" spans="1:21" ht="18" x14ac:dyDescent="0.35">
      <c r="A7" s="80">
        <v>39115</v>
      </c>
      <c r="B7" s="112" t="s">
        <v>35</v>
      </c>
      <c r="C7" s="81" t="s">
        <v>36</v>
      </c>
      <c r="D7" s="82">
        <v>39121</v>
      </c>
      <c r="E7" s="113" t="s">
        <v>37</v>
      </c>
      <c r="F7" s="113" t="s">
        <v>38</v>
      </c>
      <c r="G7" s="84"/>
      <c r="H7" s="84">
        <v>12000</v>
      </c>
      <c r="I7" s="90">
        <v>2</v>
      </c>
      <c r="J7" s="91">
        <v>8000</v>
      </c>
      <c r="K7" s="92">
        <f t="shared" si="0"/>
        <v>4000</v>
      </c>
      <c r="L7" s="93">
        <v>60</v>
      </c>
      <c r="M7" s="94">
        <f t="shared" si="7"/>
        <v>39181</v>
      </c>
      <c r="N7" s="95" t="str">
        <f t="shared" ca="1" si="1"/>
        <v>是</v>
      </c>
      <c r="O7" s="96">
        <f t="shared" ca="1" si="2"/>
        <v>0</v>
      </c>
      <c r="P7" s="97">
        <f t="shared" ca="1" si="3"/>
        <v>0</v>
      </c>
      <c r="Q7" s="97">
        <f t="shared" ca="1" si="4"/>
        <v>0</v>
      </c>
      <c r="R7" s="97">
        <f t="shared" ca="1" si="5"/>
        <v>0</v>
      </c>
      <c r="S7" s="97">
        <f t="shared" ca="1" si="6"/>
        <v>4000</v>
      </c>
    </row>
    <row r="8" spans="1:21" ht="18" x14ac:dyDescent="0.35">
      <c r="A8" s="80">
        <v>39172</v>
      </c>
      <c r="B8" s="81" t="s">
        <v>39</v>
      </c>
      <c r="C8" s="112" t="s">
        <v>22</v>
      </c>
      <c r="D8" s="82">
        <v>39142</v>
      </c>
      <c r="E8" s="113" t="s">
        <v>40</v>
      </c>
      <c r="F8" s="113" t="s">
        <v>41</v>
      </c>
      <c r="G8" s="84">
        <v>200</v>
      </c>
      <c r="H8" s="84">
        <v>18200</v>
      </c>
      <c r="I8" s="90">
        <v>3</v>
      </c>
      <c r="J8" s="91">
        <v>15000</v>
      </c>
      <c r="K8" s="92">
        <f t="shared" si="0"/>
        <v>3400</v>
      </c>
      <c r="L8" s="93">
        <v>40</v>
      </c>
      <c r="M8" s="94">
        <f t="shared" si="7"/>
        <v>39182</v>
      </c>
      <c r="N8" s="95" t="str">
        <f t="shared" ca="1" si="1"/>
        <v>是</v>
      </c>
      <c r="O8" s="96">
        <f t="shared" ca="1" si="2"/>
        <v>0</v>
      </c>
      <c r="P8" s="97">
        <f t="shared" ca="1" si="3"/>
        <v>0</v>
      </c>
      <c r="Q8" s="97">
        <f t="shared" ca="1" si="4"/>
        <v>0</v>
      </c>
      <c r="R8" s="97">
        <f t="shared" ca="1" si="5"/>
        <v>0</v>
      </c>
      <c r="S8" s="97">
        <f t="shared" ca="1" si="6"/>
        <v>3400</v>
      </c>
    </row>
    <row r="9" spans="1:21" ht="18" x14ac:dyDescent="0.35">
      <c r="A9" s="80">
        <v>39175</v>
      </c>
      <c r="B9" s="81" t="s">
        <v>39</v>
      </c>
      <c r="C9" s="112" t="s">
        <v>42</v>
      </c>
      <c r="D9" s="85">
        <v>39175</v>
      </c>
      <c r="E9" s="113" t="s">
        <v>43</v>
      </c>
      <c r="F9" s="113" t="s">
        <v>44</v>
      </c>
      <c r="G9" s="84"/>
      <c r="H9" s="84">
        <v>30000</v>
      </c>
      <c r="I9" s="90">
        <v>4</v>
      </c>
      <c r="J9" s="91">
        <v>23000</v>
      </c>
      <c r="K9" s="92">
        <f t="shared" si="0"/>
        <v>7000</v>
      </c>
      <c r="L9" s="93">
        <v>90</v>
      </c>
      <c r="M9" s="98">
        <f t="shared" si="7"/>
        <v>39265</v>
      </c>
      <c r="N9" s="95" t="str">
        <f t="shared" ca="1" si="1"/>
        <v>是</v>
      </c>
      <c r="O9" s="96">
        <f t="shared" ca="1" si="2"/>
        <v>0</v>
      </c>
      <c r="P9" s="97">
        <f t="shared" ca="1" si="3"/>
        <v>0</v>
      </c>
      <c r="Q9" s="97">
        <f t="shared" ca="1" si="4"/>
        <v>0</v>
      </c>
      <c r="R9" s="97">
        <f t="shared" ca="1" si="5"/>
        <v>0</v>
      </c>
      <c r="S9" s="97">
        <f t="shared" ca="1" si="6"/>
        <v>7000</v>
      </c>
    </row>
    <row r="10" spans="1:21" ht="18" x14ac:dyDescent="0.35">
      <c r="A10" s="80">
        <v>39175</v>
      </c>
      <c r="B10" s="81" t="s">
        <v>39</v>
      </c>
      <c r="C10" s="112" t="s">
        <v>45</v>
      </c>
      <c r="D10" s="85">
        <v>39175</v>
      </c>
      <c r="E10" s="113" t="s">
        <v>46</v>
      </c>
      <c r="F10" s="113" t="s">
        <v>47</v>
      </c>
      <c r="G10" s="84"/>
      <c r="H10" s="84">
        <v>31000</v>
      </c>
      <c r="I10" s="90">
        <v>4</v>
      </c>
      <c r="J10" s="91">
        <v>30000</v>
      </c>
      <c r="K10" s="92">
        <f t="shared" si="0"/>
        <v>1000</v>
      </c>
      <c r="L10" s="93">
        <v>90</v>
      </c>
      <c r="M10" s="98">
        <f t="shared" si="7"/>
        <v>39265</v>
      </c>
      <c r="N10" s="95" t="str">
        <f t="shared" ca="1" si="1"/>
        <v>是</v>
      </c>
      <c r="O10" s="96">
        <f t="shared" ca="1" si="2"/>
        <v>0</v>
      </c>
      <c r="P10" s="97">
        <f t="shared" ca="1" si="3"/>
        <v>0</v>
      </c>
      <c r="Q10" s="97">
        <f t="shared" ca="1" si="4"/>
        <v>0</v>
      </c>
      <c r="R10" s="97">
        <f t="shared" ca="1" si="5"/>
        <v>0</v>
      </c>
      <c r="S10" s="97">
        <f t="shared" ca="1" si="6"/>
        <v>1000</v>
      </c>
    </row>
    <row r="11" spans="1:21" ht="18" x14ac:dyDescent="0.35">
      <c r="A11" s="80">
        <v>39175</v>
      </c>
      <c r="B11" s="81" t="s">
        <v>39</v>
      </c>
      <c r="C11" s="112" t="s">
        <v>48</v>
      </c>
      <c r="D11" s="85">
        <v>39175</v>
      </c>
      <c r="E11" s="113" t="s">
        <v>49</v>
      </c>
      <c r="F11" s="113" t="s">
        <v>50</v>
      </c>
      <c r="G11" s="84"/>
      <c r="H11" s="84">
        <v>29000</v>
      </c>
      <c r="I11" s="90">
        <v>4</v>
      </c>
      <c r="J11" s="91">
        <v>26000</v>
      </c>
      <c r="K11" s="92">
        <f t="shared" si="0"/>
        <v>3000</v>
      </c>
      <c r="L11" s="93">
        <v>90</v>
      </c>
      <c r="M11" s="98">
        <f t="shared" si="7"/>
        <v>39265</v>
      </c>
      <c r="N11" s="95" t="str">
        <f t="shared" ca="1" si="1"/>
        <v>是</v>
      </c>
      <c r="O11" s="96">
        <f t="shared" ca="1" si="2"/>
        <v>0</v>
      </c>
      <c r="P11" s="97">
        <f t="shared" ca="1" si="3"/>
        <v>0</v>
      </c>
      <c r="Q11" s="97">
        <f t="shared" ca="1" si="4"/>
        <v>0</v>
      </c>
      <c r="R11" s="97">
        <f t="shared" ca="1" si="5"/>
        <v>0</v>
      </c>
      <c r="S11" s="97">
        <f t="shared" ca="1" si="6"/>
        <v>3000</v>
      </c>
    </row>
    <row r="12" spans="1:21" ht="18" x14ac:dyDescent="0.35">
      <c r="A12" s="80">
        <v>39176</v>
      </c>
      <c r="B12" s="81" t="s">
        <v>51</v>
      </c>
      <c r="C12" s="81" t="s">
        <v>52</v>
      </c>
      <c r="D12" s="85">
        <v>39176</v>
      </c>
      <c r="E12" s="113" t="s">
        <v>53</v>
      </c>
      <c r="F12" s="113" t="s">
        <v>54</v>
      </c>
      <c r="G12" s="84"/>
      <c r="H12" s="84">
        <v>32000</v>
      </c>
      <c r="I12" s="90">
        <v>4</v>
      </c>
      <c r="J12" s="91">
        <v>31000</v>
      </c>
      <c r="K12" s="92">
        <f t="shared" si="0"/>
        <v>1000</v>
      </c>
      <c r="L12" s="93">
        <v>90</v>
      </c>
      <c r="M12" s="98">
        <f t="shared" si="7"/>
        <v>39266</v>
      </c>
      <c r="N12" s="95" t="str">
        <f t="shared" ca="1" si="1"/>
        <v>是</v>
      </c>
      <c r="O12" s="96">
        <f t="shared" ca="1" si="2"/>
        <v>0</v>
      </c>
      <c r="P12" s="97">
        <f t="shared" ca="1" si="3"/>
        <v>0</v>
      </c>
      <c r="Q12" s="97">
        <f t="shared" ca="1" si="4"/>
        <v>0</v>
      </c>
      <c r="R12" s="97">
        <f t="shared" ca="1" si="5"/>
        <v>0</v>
      </c>
      <c r="S12" s="97">
        <f t="shared" ca="1" si="6"/>
        <v>1000</v>
      </c>
    </row>
    <row r="13" spans="1:21" ht="18" x14ac:dyDescent="0.35">
      <c r="A13" s="80"/>
      <c r="B13" s="81"/>
      <c r="C13" s="81"/>
      <c r="D13" s="86"/>
      <c r="E13" s="87"/>
      <c r="F13" s="87"/>
      <c r="G13" s="84"/>
      <c r="H13" s="84"/>
      <c r="I13" s="87"/>
      <c r="J13" s="91"/>
      <c r="K13" s="92"/>
      <c r="L13" s="93"/>
      <c r="M13" s="98"/>
      <c r="N13" s="95">
        <f t="shared" si="1"/>
        <v>0</v>
      </c>
      <c r="O13" s="96">
        <f t="shared" ca="1" si="2"/>
        <v>0</v>
      </c>
      <c r="P13" s="97">
        <f t="shared" ca="1" si="3"/>
        <v>0</v>
      </c>
      <c r="Q13" s="97">
        <f t="shared" ca="1" si="4"/>
        <v>0</v>
      </c>
      <c r="R13" s="97">
        <f t="shared" ca="1" si="5"/>
        <v>0</v>
      </c>
      <c r="S13" s="97">
        <f t="shared" ca="1" si="6"/>
        <v>0</v>
      </c>
    </row>
    <row r="14" spans="1:21" ht="18" x14ac:dyDescent="0.35">
      <c r="A14" s="80"/>
      <c r="B14" s="81"/>
      <c r="C14" s="81"/>
      <c r="D14" s="86"/>
      <c r="E14" s="87"/>
      <c r="F14" s="87"/>
      <c r="G14" s="84"/>
      <c r="H14" s="84"/>
      <c r="I14" s="87"/>
      <c r="J14" s="91"/>
      <c r="K14" s="92"/>
      <c r="L14" s="93"/>
      <c r="M14" s="98"/>
      <c r="N14" s="95">
        <f t="shared" si="1"/>
        <v>0</v>
      </c>
      <c r="O14" s="96">
        <f t="shared" ca="1" si="2"/>
        <v>0</v>
      </c>
      <c r="P14" s="97">
        <f t="shared" ca="1" si="3"/>
        <v>0</v>
      </c>
      <c r="Q14" s="97">
        <f t="shared" ca="1" si="4"/>
        <v>0</v>
      </c>
      <c r="R14" s="97">
        <f t="shared" ca="1" si="5"/>
        <v>0</v>
      </c>
      <c r="S14" s="97">
        <f t="shared" ca="1" si="6"/>
        <v>0</v>
      </c>
    </row>
    <row r="15" spans="1:21" ht="18" x14ac:dyDescent="0.35">
      <c r="A15" s="80"/>
      <c r="B15" s="81"/>
      <c r="C15" s="81"/>
      <c r="D15" s="86"/>
      <c r="E15" s="87"/>
      <c r="F15" s="87"/>
      <c r="G15" s="84"/>
      <c r="H15" s="84"/>
      <c r="I15" s="87"/>
      <c r="J15" s="91"/>
      <c r="K15" s="92"/>
      <c r="L15" s="93"/>
      <c r="M15" s="98"/>
      <c r="N15" s="95">
        <f t="shared" si="1"/>
        <v>0</v>
      </c>
      <c r="O15" s="96">
        <f t="shared" ca="1" si="2"/>
        <v>0</v>
      </c>
      <c r="P15" s="97">
        <f t="shared" ca="1" si="3"/>
        <v>0</v>
      </c>
      <c r="Q15" s="97">
        <f t="shared" ca="1" si="4"/>
        <v>0</v>
      </c>
      <c r="R15" s="97">
        <f t="shared" ca="1" si="5"/>
        <v>0</v>
      </c>
      <c r="S15" s="97">
        <f t="shared" ca="1" si="6"/>
        <v>0</v>
      </c>
    </row>
    <row r="16" spans="1:21" ht="18" x14ac:dyDescent="0.35">
      <c r="A16" s="80"/>
      <c r="B16" s="81"/>
      <c r="C16" s="81"/>
      <c r="D16" s="86"/>
      <c r="E16" s="87"/>
      <c r="F16" s="87"/>
      <c r="G16" s="84"/>
      <c r="H16" s="84"/>
      <c r="I16" s="87"/>
      <c r="J16" s="91"/>
      <c r="K16" s="92"/>
      <c r="L16" s="93"/>
      <c r="M16" s="98"/>
      <c r="N16" s="95">
        <f t="shared" si="1"/>
        <v>0</v>
      </c>
      <c r="O16" s="96">
        <f t="shared" ca="1" si="2"/>
        <v>0</v>
      </c>
      <c r="P16" s="97">
        <f t="shared" ca="1" si="3"/>
        <v>0</v>
      </c>
      <c r="Q16" s="97">
        <f t="shared" ca="1" si="4"/>
        <v>0</v>
      </c>
      <c r="R16" s="97">
        <f t="shared" ca="1" si="5"/>
        <v>0</v>
      </c>
      <c r="S16" s="97">
        <f t="shared" ca="1" si="6"/>
        <v>0</v>
      </c>
    </row>
  </sheetData>
  <phoneticPr fontId="29" type="noConversion"/>
  <dataValidations count="2">
    <dataValidation type="list" allowBlank="1" showInputMessage="1" showErrorMessage="1" sqref="B2:B16" xr:uid="{00000000-0002-0000-0100-000000000000}">
      <formula1>客户</formula1>
    </dataValidation>
    <dataValidation type="list" allowBlank="1" showInputMessage="1" showErrorMessage="1" sqref="C2:C16" xr:uid="{00000000-0002-0000-0100-000001000000}">
      <formula1>业务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5"/>
  <sheetViews>
    <sheetView showZeros="0" workbookViewId="0">
      <pane xSplit="2" ySplit="2" topLeftCell="J3" activePane="bottomRight" state="frozen"/>
      <selection pane="topRight"/>
      <selection pane="bottomLeft"/>
      <selection pane="bottomRight" activeCell="X24" sqref="X24"/>
    </sheetView>
  </sheetViews>
  <sheetFormatPr defaultColWidth="9" defaultRowHeight="17.25" x14ac:dyDescent="0.3"/>
  <cols>
    <col min="1" max="4" width="9.5" style="2" customWidth="1"/>
    <col min="5" max="5" width="10.5" style="2" customWidth="1"/>
    <col min="6" max="6" width="9" style="2"/>
    <col min="7" max="7" width="9.625" style="2"/>
    <col min="8" max="8" width="9.875" style="2" customWidth="1"/>
    <col min="9" max="9" width="6.375" style="2" customWidth="1"/>
    <col min="10" max="10" width="9.625" style="2"/>
    <col min="11" max="11" width="10.25" style="2" customWidth="1"/>
    <col min="12" max="12" width="9" style="2"/>
    <col min="13" max="13" width="10.75" style="2" customWidth="1"/>
    <col min="14" max="14" width="7.875" style="2" customWidth="1"/>
    <col min="15" max="15" width="9.875" style="2"/>
    <col min="16" max="16" width="4.625" style="2" customWidth="1"/>
    <col min="17" max="17" width="8.25" style="2" customWidth="1"/>
    <col min="18" max="21" width="9" style="2"/>
    <col min="22" max="22" width="10.5" style="2" customWidth="1"/>
    <col min="23" max="23" width="10" style="2" customWidth="1"/>
    <col min="24" max="16384" width="9" style="2"/>
  </cols>
  <sheetData>
    <row r="1" spans="1:25" ht="20.25" x14ac:dyDescent="0.35">
      <c r="A1" s="57" t="s">
        <v>55</v>
      </c>
      <c r="B1" s="58">
        <v>1</v>
      </c>
      <c r="C1" s="5" t="s">
        <v>4</v>
      </c>
      <c r="D1" s="6" t="s">
        <v>30</v>
      </c>
      <c r="E1" s="59" t="str">
        <f t="array" ref="E1">IF(SUM((MONTH(记录!$A$2:$A$16)=按业务员查询!$B$1)*(记录!$C$2:$C$16=$D$1))&gt;0,"找到"&amp;COUNT(L3:L24)&amp;"条记录","没有符合条件的数据")</f>
        <v>找到1条记录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</row>
    <row r="2" spans="1:25" s="1" customFormat="1" ht="34.5" x14ac:dyDescent="0.35">
      <c r="A2" s="114" t="s">
        <v>2</v>
      </c>
      <c r="B2" s="60" t="s">
        <v>3</v>
      </c>
      <c r="C2" s="9" t="s">
        <v>5</v>
      </c>
      <c r="D2" s="9" t="s">
        <v>6</v>
      </c>
      <c r="E2" s="9" t="s">
        <v>56</v>
      </c>
      <c r="F2" s="115" t="s">
        <v>57</v>
      </c>
      <c r="G2" s="9" t="s">
        <v>9</v>
      </c>
      <c r="H2" s="116" t="s">
        <v>58</v>
      </c>
      <c r="I2" s="9" t="s">
        <v>59</v>
      </c>
      <c r="J2" s="9" t="s">
        <v>60</v>
      </c>
      <c r="K2" s="116" t="s">
        <v>61</v>
      </c>
      <c r="L2" s="115" t="s">
        <v>12</v>
      </c>
      <c r="M2" s="117" t="s">
        <v>62</v>
      </c>
      <c r="N2" s="115" t="s">
        <v>63</v>
      </c>
      <c r="O2" s="118" t="s">
        <v>14</v>
      </c>
      <c r="P2" s="66" t="s">
        <v>15</v>
      </c>
      <c r="Q2" s="119" t="s">
        <v>64</v>
      </c>
      <c r="R2" s="68" t="s">
        <v>17</v>
      </c>
      <c r="S2" s="19" t="s">
        <v>18</v>
      </c>
      <c r="T2" s="19" t="s">
        <v>19</v>
      </c>
      <c r="U2" s="29" t="s">
        <v>20</v>
      </c>
      <c r="Y2" s="30" t="s">
        <v>22</v>
      </c>
    </row>
    <row r="3" spans="1:25" ht="18" x14ac:dyDescent="0.35">
      <c r="A3" s="61">
        <f>INDEX(记录!A$2:A$16,SMALL(IF((MONTH(记录!$A$2:$A$16)=按业务员查询!$B$1)*(记录!$C$2:$C$16=$D$1),ROW(记录!A$2:A$16)-1),ROW(1:1)))</f>
        <v>39113</v>
      </c>
      <c r="B3" s="120" t="str">
        <f t="array" ref="B3">INDEX(记录!B$2:B$16,SMALL(IF((MONTH(记录!$A$2:$A$16)=按业务员查询!$B$1)*(记录!$C$2:$C$16=$D$1),ROW(记录!B$2:B$16)-1),ROW(1:1)))</f>
        <v>A公司</v>
      </c>
      <c r="C3" s="14">
        <f t="array" ref="C3">INDEX(记录!D$2:D$16,SMALL(IF((MONTH(记录!$A$2:$A$16)=按业务员查询!$B$1)*(记录!$C$2:$C$16=$D$1),ROW(记录!C$2:C$16)-1),ROW(1:1)))</f>
        <v>39113</v>
      </c>
      <c r="D3" s="121" t="str">
        <f t="array" ref="D3">INDEX(记录!E$2:E$16,SMALL(IF((MONTH(记录!$A$2:$A$16)=按业务员查询!$B$1)*(记录!$C$2:$C$16=$D$1),ROW(记录!E$2:E$16)-1),ROW(1:1)))</f>
        <v>07-01-30</v>
      </c>
      <c r="E3" s="63" t="str">
        <f t="array" ref="E3">INDEX(记录!F$2:F$16,SMALL(IF((MONTH(记录!$A$2:$A$16)=按业务员查询!$B$1)*(记录!$C$2:$C$16=$D$1),ROW(记录!F$2:F$16)-1),ROW(1:1)))</f>
        <v>01-104</v>
      </c>
      <c r="F3" s="64">
        <f>IF(A3=0,0,SUMPRODUCT((记录!$C$2:$C$16=$D$1)*(MONTH(记录!$A$2:$A$16)&lt;=$B$1)*(记录!$B$2:$B$16=$B3)*记录!$G$2:$G$16))</f>
        <v>2000</v>
      </c>
      <c r="G3" s="65">
        <f t="array" ref="G3">INDEX(记录!H$2:H$16,SMALL(IF((MONTH(记录!$A$2:$A$16)=按业务员查询!$B$1)*(记录!$C$2:$C$16=$D$1),ROW(记录!H$2:H$16)-1),ROW(1:1)))</f>
        <v>28000</v>
      </c>
      <c r="H3" s="16">
        <f>IF(A3=0,0,SUMPRODUCT((记录!$C$2:$C$16=$D$1)*(MONTH(记录!$A$2:$A$16)&lt;=$B$1)*(记录!$B$2:$B$16=$B3)*记录!$H$2:$H$16))</f>
        <v>28000</v>
      </c>
      <c r="I3" s="62">
        <f t="array" ref="I3">INDEX(记录!I$2:I$16,SMALL(IF((MONTH(记录!$A$2:$A$16)=按业务员查询!$B$1)*(记录!$C$2:$C$16=$D$1),ROW(记录!I$2:I$16)-1),ROW(1:1)))</f>
        <v>1</v>
      </c>
      <c r="J3" s="65">
        <f t="array" ref="J3">INDEX(记录!J$2:J$16,SMALL(IF((MONTH(记录!$A$2:$A$16)=按业务员查询!$B$1)*(记录!$C$2:$C$16=$D$1),ROW(记录!J$2:J$16)-1),ROW(1:1)))</f>
        <v>26000</v>
      </c>
      <c r="K3" s="16">
        <f>IF(A3=0,0,SUMPRODUCT((记录!$C$2:$C$16=$D$1)*(MONTH(记录!$A$2:$A$16)&lt;=$B$1)*(记录!$B$2:$B$16=$B3)*记录!$J$2:$J$16))</f>
        <v>26000</v>
      </c>
      <c r="L3" s="65">
        <f t="array" ref="L3">INDEX(记录!K$2:K$16,SMALL(IF((MONTH(记录!$A$2:$A$16)=按业务员查询!$B$1)*(记录!$C$2:$C$16=$D$1),ROW(记录!K$2:K$16)-1),ROW(1:1)))</f>
        <v>4000</v>
      </c>
      <c r="M3" s="24">
        <f>IF(D1=0,0,F3+H3-K3)</f>
        <v>4000</v>
      </c>
      <c r="N3" s="67">
        <f t="array" ref="N3">INDEX(记录!L$2:L$16,SMALL(IF((MONTH(记录!$A$2:$A$16)=按业务员查询!$B$1)*(记录!$C$2:$C$16=$D$1),ROW(记录!L$2:L$16)-1),ROW(1:1)))</f>
        <v>360</v>
      </c>
      <c r="O3" s="61">
        <f>INDEX(记录!M$2:M$16,SMALL(IF((MONTH(记录!$A$2:$A$16)=按业务员查询!$B$1)*(记录!$C$2:$C$16=$D$1),ROW(记录!M$2:M$16)-1),ROW(1:1)))</f>
        <v>39231</v>
      </c>
      <c r="P3" s="63" t="str">
        <f t="array" aca="1" ref="P3" ca="1">INDEX(记录!N$2:N$16,SMALL(IF((MONTH(记录!$A$2:$A$16)=按业务员查询!$B$1)*(记录!$C$2:$C$16=$D$1),ROW(记录!N$2:N$16)-1),ROW(1:1)))</f>
        <v>是</v>
      </c>
      <c r="Q3" s="69">
        <f ca="1">IF(G3=0,0,SUMPRODUCT((记录!$C$2:$C$16=$D$1)*(MONTH(记录!$A$2:$A$16)&lt;=$B$1)*(记录!$B$2:$B$16=$B3)*记录!$O$2:$O$16))</f>
        <v>0</v>
      </c>
      <c r="R3" s="70">
        <f ca="1">IF(H3=0,0,SUMPRODUCT((记录!$C$2:$C$16=$D$1)*(MONTH(记录!$A$2:$A$16)&lt;=$B$1)*(记录!$B$2:$B$16=$B3)*记录!$P$2:$P$16))</f>
        <v>0</v>
      </c>
      <c r="S3" s="70">
        <f ca="1">IF(I3=0,0,SUMPRODUCT((记录!$C$2:$C$16=$D$1)*(MONTH(记录!$A$2:$A$16)&lt;=$B$1)*(记录!$B$2:$B$16=$B3)*记录!$Q$2:$Q$16))</f>
        <v>0</v>
      </c>
      <c r="T3" s="70">
        <f ca="1">IF(J3=0,0,SUMPRODUCT((记录!$C$2:$C$16=$D$1)*(MONTH(记录!$A$2:$A$16)&lt;=$B$1)*(记录!$B$2:$B$16=$B3)*记录!$R$2:$R$16))</f>
        <v>0</v>
      </c>
      <c r="U3" s="71">
        <f ca="1">IF(K3=0,0,SUMPRODUCT((记录!$C$2:$C$16=$D$1)*(MONTH(记录!$A$2:$A$16)&lt;=$B$1)*(记录!$B$2:$B$16=$B3)*记录!$S$2:$S$16))</f>
        <v>4000</v>
      </c>
      <c r="V3" s="32"/>
      <c r="W3" s="28"/>
      <c r="Y3" s="33" t="s">
        <v>26</v>
      </c>
    </row>
    <row r="4" spans="1:25" ht="18" x14ac:dyDescent="0.35">
      <c r="A4" s="61" t="e">
        <f t="array" ref="A4">INDEX(记录!A$2:A$16,SMALL(IF((MONTH(记录!$A$2:$A$16)=按业务员查询!$B$1)*(记录!$C$2:$C$16=$D$1),ROW(记录!A$2:A$16)-1),ROW(2:2)))</f>
        <v>#NUM!</v>
      </c>
      <c r="B4" s="14" t="e">
        <f t="array" ref="B4">INDEX(记录!B$2:B$16,SMALL(IF((MONTH(记录!$A$2:$A$16)=按业务员查询!$B$1)*(记录!$C$2:$C$16=$D$1),ROW(记录!B$2:B$16)-1),ROW(2:2)))</f>
        <v>#NUM!</v>
      </c>
      <c r="C4" s="14" t="e">
        <f t="array" ref="C4">INDEX(记录!D$2:D$16,SMALL(IF((MONTH(记录!$A$2:$A$16)=按业务员查询!$B$1)*(记录!$C$2:$C$16=$D$1),ROW(记录!C$2:C$16)-1),ROW(2:2)))</f>
        <v>#NUM!</v>
      </c>
      <c r="D4" s="62" t="e">
        <f t="array" ref="D4">INDEX(记录!E$2:E$16,SMALL(IF((MONTH(记录!$A$2:$A$16)=按业务员查询!$B$1)*(记录!$C$2:$C$16=$D$1),ROW(记录!E$2:E$16)-1),ROW(2:2)))</f>
        <v>#NUM!</v>
      </c>
      <c r="E4" s="63" t="e">
        <f t="array" ref="E4">INDEX(记录!F$2:F$16,SMALL(IF((MONTH(记录!$A$2:$A$16)=按业务员查询!$B$1)*(记录!$C$2:$C$16=$D$1),ROW(记录!F$2:F$16)-1),ROW(2:2)))</f>
        <v>#NUM!</v>
      </c>
      <c r="F4" s="64" t="e">
        <f>IF(A4=0,0,SUMPRODUCT((记录!$C$2:$C$16=$D$1)*(MONTH(记录!$A$2:$A$16)&lt;=$B$1)*(记录!$B$2:$B$16=$B4)*记录!$G$2:$G$16))</f>
        <v>#NUM!</v>
      </c>
      <c r="G4" s="65" t="e">
        <f t="array" ref="G4">INDEX(记录!H$2:H$16,SMALL(IF((MONTH(记录!$A$2:$A$16)=按业务员查询!$B$1)*(记录!$C$2:$C$16=$D$1),ROW(记录!H$2:H$16)-1),ROW(2:2)))</f>
        <v>#NUM!</v>
      </c>
      <c r="H4" s="16" t="e">
        <f>IF(A4=0,0,SUMPRODUCT((记录!$C$2:$C$16=$D$1)*(MONTH(记录!$A$2:$A$16)&lt;=$B$1)*(记录!$B$2:$B$16=$B4)*记录!$H$2:$H$16))</f>
        <v>#NUM!</v>
      </c>
      <c r="I4" s="62" t="e">
        <f t="array" ref="I4">INDEX(记录!I$2:I$16,SMALL(IF((MONTH(记录!$A$2:$A$16)=按业务员查询!$B$1)*(记录!$C$2:$C$16=$D$1),ROW(记录!I$2:I$16)-1),ROW(2:2)))</f>
        <v>#NUM!</v>
      </c>
      <c r="J4" s="65" t="e">
        <f t="array" ref="J4">INDEX(记录!J$2:J$16,SMALL(IF((MONTH(记录!$A$2:$A$16)=按业务员查询!$B$1)*(记录!$C$2:$C$16=$D$1),ROW(记录!J$2:J$16)-1),ROW(2:2)))</f>
        <v>#NUM!</v>
      </c>
      <c r="K4" s="16" t="e">
        <f>IF(A4=0,0,SUMPRODUCT((记录!$C$2:$C$16=$D$1)*(MONTH(记录!$A$2:$A$16)&lt;=$B$1)*(记录!$B$2:$B$16=$B4)*记录!$J$2:$J$16))</f>
        <v>#NUM!</v>
      </c>
      <c r="L4" s="65" t="e">
        <f t="array" ref="L4">INDEX(记录!K$2:K$16,SMALL(IF((MONTH(记录!$A$2:$A$16)=按业务员查询!$B$1)*(记录!$C$2:$C$16=$D$1),ROW(记录!K$2:K$16)-1),ROW(2:2)))</f>
        <v>#NUM!</v>
      </c>
      <c r="M4" s="24" t="e">
        <f>IF(D2=0,0,F4+H4-K4)</f>
        <v>#NUM!</v>
      </c>
      <c r="N4" s="67" t="e">
        <f t="array" ref="N4">INDEX(记录!L$2:L$16,SMALL(IF((MONTH(记录!$A$2:$A$16)=按业务员查询!$B$1)*(记录!$C$2:$C$16=$D$1),ROW(记录!L$2:L$16)-1),ROW(2:2)))</f>
        <v>#NUM!</v>
      </c>
      <c r="O4" s="61" t="e">
        <f t="array" ref="O4">INDEX(记录!M$2:M$16,SMALL(IF((MONTH(记录!$A$2:$A$16)=按业务员查询!$B$1)*(记录!$C$2:$C$16=$D$1),ROW(记录!M$2:M$16)-1),ROW(2:2)))</f>
        <v>#NUM!</v>
      </c>
      <c r="P4" s="63" t="e">
        <f t="array" ref="P4">INDEX(记录!N$2:N$16,SMALL(IF((MONTH(记录!$A$2:$A$16)=按业务员查询!$B$1)*(记录!$C$2:$C$16=$D$1),ROW(记录!N$2:N$16)-1),ROW(2:2)))</f>
        <v>#NUM!</v>
      </c>
      <c r="Q4" s="26" t="e">
        <f>IF(G4=0,0,SUMPRODUCT((记录!$C$2:$C$16=$D$1)*(MONTH(记录!$A$2:$A$16)&lt;=$B$1)*(记录!$B$2:$B$16=$B4)*记录!$O$2:$O$16))</f>
        <v>#NUM!</v>
      </c>
      <c r="R4" s="27" t="e">
        <f>IF(H4=0,0,SUMPRODUCT((记录!$C$2:$C$16=$D$1)*(MONTH(记录!$A$2:$A$16)&lt;=$B$1)*(记录!$B$2:$B$16=$B4)*记录!$P$2:$P$16))</f>
        <v>#NUM!</v>
      </c>
      <c r="S4" s="27" t="e">
        <f>IF(I4=0,0,SUMPRODUCT((记录!$C$2:$C$16=$D$1)*(MONTH(记录!$A$2:$A$16)&lt;=$B$1)*(记录!$B$2:$B$16=$B4)*记录!$Q$2:$Q$16))</f>
        <v>#NUM!</v>
      </c>
      <c r="T4" s="27" t="e">
        <f>IF(J4=0,0,SUMPRODUCT((记录!$C$2:$C$16=$D$1)*(MONTH(记录!$A$2:$A$16)&lt;=$B$1)*(记录!$B$2:$B$16=$B4)*记录!$R$2:$R$16))</f>
        <v>#NUM!</v>
      </c>
      <c r="U4" s="34" t="e">
        <f>IF(K4=0,0,SUMPRODUCT((记录!$C$2:$C$16=$D$1)*(MONTH(记录!$A$2:$A$16)&lt;=$B$1)*(记录!$B$2:$B$16=$B4)*记录!$S$2:$S$16))</f>
        <v>#NUM!</v>
      </c>
      <c r="V4" s="32"/>
      <c r="W4" s="28"/>
      <c r="Y4" s="33" t="s">
        <v>42</v>
      </c>
    </row>
    <row r="5" spans="1:25" ht="18" x14ac:dyDescent="0.35">
      <c r="A5" s="61" t="e">
        <f t="array" ref="A5">INDEX(记录!A$2:A$16,SMALL(IF((MONTH(记录!$A$2:$A$16)=按业务员查询!$B$1)*(记录!$C$2:$C$16=$D$1),ROW(记录!A$2:A$16)-1),ROW(3:3)))</f>
        <v>#NUM!</v>
      </c>
      <c r="B5" s="14" t="e">
        <f t="array" ref="B5">INDEX(记录!B$2:B$16,SMALL(IF((MONTH(记录!$A$2:$A$16)=按业务员查询!$B$1)*(记录!$C$2:$C$16=$D$1),ROW(记录!B$2:B$16)-1),ROW(3:3)))</f>
        <v>#NUM!</v>
      </c>
      <c r="C5" s="14" t="e">
        <f t="array" ref="C5">INDEX(记录!D$2:D$16,SMALL(IF((MONTH(记录!$A$2:$A$16)=按业务员查询!$B$1)*(记录!$C$2:$C$16=$D$1),ROW(记录!C$2:C$16)-1),ROW(3:3)))</f>
        <v>#NUM!</v>
      </c>
      <c r="D5" s="62" t="e">
        <f t="array" ref="D5">INDEX(记录!E$2:E$16,SMALL(IF((MONTH(记录!$A$2:$A$16)=按业务员查询!$B$1)*(记录!$C$2:$C$16=$D$1),ROW(记录!E$2:E$16)-1),ROW(3:3)))</f>
        <v>#NUM!</v>
      </c>
      <c r="E5" s="63" t="e">
        <f t="array" ref="E5">INDEX(记录!F$2:F$16,SMALL(IF((MONTH(记录!$A$2:$A$16)=按业务员查询!$B$1)*(记录!$C$2:$C$16=$D$1),ROW(记录!F$2:F$16)-1),ROW(3:3)))</f>
        <v>#NUM!</v>
      </c>
      <c r="F5" s="64" t="e">
        <f>IF(A5=0,0,SUMPRODUCT((记录!$C$2:$C$16=$D$1)*(MONTH(记录!$A$2:$A$16)&lt;=$B$1)*(记录!$B$2:$B$16=$B5)*记录!$G$2:$G$16))</f>
        <v>#NUM!</v>
      </c>
      <c r="G5" s="65" t="e">
        <f t="array" ref="G5">INDEX(记录!H$2:H$16,SMALL(IF((MONTH(记录!$A$2:$A$16)=按业务员查询!$B$1)*(记录!$C$2:$C$16=$D$1),ROW(记录!H$2:H$16)-1),ROW(3:3)))</f>
        <v>#NUM!</v>
      </c>
      <c r="H5" s="16" t="e">
        <f>IF(A5=0,0,SUMPRODUCT((记录!$C$2:$C$16=$D$1)*(MONTH(记录!$A$2:$A$16)&lt;=$B$1)*(记录!$B$2:$B$16=$B5)*记录!$H$2:$H$16))</f>
        <v>#NUM!</v>
      </c>
      <c r="I5" s="62" t="e">
        <f t="array" ref="I5">INDEX(记录!I$2:I$16,SMALL(IF((MONTH(记录!$A$2:$A$16)=按业务员查询!$B$1)*(记录!$C$2:$C$16=$D$1),ROW(记录!I$2:I$16)-1),ROW(3:3)))</f>
        <v>#NUM!</v>
      </c>
      <c r="J5" s="65" t="e">
        <f t="array" ref="J5">INDEX(记录!J$2:J$16,SMALL(IF((MONTH(记录!$A$2:$A$16)=按业务员查询!$B$1)*(记录!$C$2:$C$16=$D$1),ROW(记录!J$2:J$16)-1),ROW(3:3)))</f>
        <v>#NUM!</v>
      </c>
      <c r="K5" s="16" t="e">
        <f>IF(A5=0,0,SUMPRODUCT((记录!$C$2:$C$16=$D$1)*(MONTH(记录!$A$2:$A$16)&lt;=$B$1)*(记录!$B$2:$B$16=$B5)*记录!$J$2:$J$16))</f>
        <v>#NUM!</v>
      </c>
      <c r="L5" s="65" t="e">
        <f t="array" ref="L5">INDEX(记录!K$2:K$16,SMALL(IF((MONTH(记录!$A$2:$A$16)=按业务员查询!$B$1)*(记录!$C$2:$C$16=$D$1),ROW(记录!K$2:K$16)-1),ROW(3:3)))</f>
        <v>#NUM!</v>
      </c>
      <c r="M5" s="24" t="e">
        <f t="shared" ref="M5:M24" si="0">IF(D3=0,0,F5+H5-K5)</f>
        <v>#NUM!</v>
      </c>
      <c r="N5" s="67" t="e">
        <f t="array" ref="N5">INDEX(记录!L$2:L$16,SMALL(IF((MONTH(记录!$A$2:$A$16)=按业务员查询!$B$1)*(记录!$C$2:$C$16=$D$1),ROW(记录!L$2:L$16)-1),ROW(3:3)))</f>
        <v>#NUM!</v>
      </c>
      <c r="O5" s="61" t="e">
        <f t="array" ref="O5">INDEX(记录!M$2:M$16,SMALL(IF((MONTH(记录!$A$2:$A$16)=按业务员查询!$B$1)*(记录!$C$2:$C$16=$D$1),ROW(记录!M$2:M$16)-1),ROW(3:3)))</f>
        <v>#NUM!</v>
      </c>
      <c r="P5" s="63" t="e">
        <f t="array" ref="P5">INDEX(记录!N$2:N$16,SMALL(IF((MONTH(记录!$A$2:$A$16)=按业务员查询!$B$1)*(记录!$C$2:$C$16=$D$1),ROW(记录!N$2:N$16)-1),ROW(3:3)))</f>
        <v>#NUM!</v>
      </c>
      <c r="Q5" s="26" t="e">
        <f>IF(G5=0,0,SUMPRODUCT((记录!$C$2:$C$16=$D$1)*(MONTH(记录!$A$2:$A$16)&lt;=$B$1)*(记录!$B$2:$B$16=$B5)*记录!$O$2:$O$16))</f>
        <v>#NUM!</v>
      </c>
      <c r="R5" s="27" t="e">
        <f>IF(H5=0,0,SUMPRODUCT((记录!$C$2:$C$16=$D$1)*(MONTH(记录!$A$2:$A$16)&lt;=$B$1)*(记录!$B$2:$B$16=$B5)*记录!$P$2:$P$16))</f>
        <v>#NUM!</v>
      </c>
      <c r="S5" s="27" t="e">
        <f>IF(I5=0,0,SUMPRODUCT((记录!$C$2:$C$16=$D$1)*(MONTH(记录!$A$2:$A$16)&lt;=$B$1)*(记录!$B$2:$B$16=$B5)*记录!$Q$2:$Q$16))</f>
        <v>#NUM!</v>
      </c>
      <c r="T5" s="27" t="e">
        <f>IF(J5=0,0,SUMPRODUCT((记录!$C$2:$C$16=$D$1)*(MONTH(记录!$A$2:$A$16)&lt;=$B$1)*(记录!$B$2:$B$16=$B5)*记录!$R$2:$R$16))</f>
        <v>#NUM!</v>
      </c>
      <c r="U5" s="34" t="e">
        <f>IF(K5=0,0,SUMPRODUCT((记录!$C$2:$C$16=$D$1)*(MONTH(记录!$A$2:$A$16)&lt;=$B$1)*(记录!$B$2:$B$16=$B5)*记录!$S$2:$S$16))</f>
        <v>#NUM!</v>
      </c>
      <c r="V5" s="32"/>
      <c r="W5" s="28"/>
      <c r="Y5" s="33" t="s">
        <v>30</v>
      </c>
    </row>
    <row r="6" spans="1:25" ht="18" x14ac:dyDescent="0.35">
      <c r="A6" s="61" t="e">
        <f t="array" ref="A6">INDEX(记录!A$2:A$16,SMALL(IF((MONTH(记录!$A$2:$A$16)=按业务员查询!$B$1)*(记录!$C$2:$C$16=$D$1),ROW(记录!A$2:A$16)-1),ROW(4:4)))</f>
        <v>#NUM!</v>
      </c>
      <c r="B6" s="14" t="e">
        <f t="array" ref="B6">INDEX(记录!B$2:B$16,SMALL(IF((MONTH(记录!$A$2:$A$16)=按业务员查询!$B$1)*(记录!$C$2:$C$16=$D$1),ROW(记录!B$2:B$16)-1),ROW(4:4)))</f>
        <v>#NUM!</v>
      </c>
      <c r="C6" s="14" t="e">
        <f t="array" ref="C6">INDEX(记录!D$2:D$16,SMALL(IF((MONTH(记录!$A$2:$A$16)=按业务员查询!$B$1)*(记录!$C$2:$C$16=$D$1),ROW(记录!C$2:C$16)-1),ROW(4:4)))</f>
        <v>#NUM!</v>
      </c>
      <c r="D6" s="62" t="e">
        <f t="array" ref="D6">INDEX(记录!E$2:E$16,SMALL(IF((MONTH(记录!$A$2:$A$16)=按业务员查询!$B$1)*(记录!$C$2:$C$16=$D$1),ROW(记录!E$2:E$16)-1),ROW(4:4)))</f>
        <v>#NUM!</v>
      </c>
      <c r="E6" s="63" t="e">
        <f t="array" ref="E6">INDEX(记录!F$2:F$16,SMALL(IF((MONTH(记录!$A$2:$A$16)=按业务员查询!$B$1)*(记录!$C$2:$C$16=$D$1),ROW(记录!F$2:F$16)-1),ROW(4:4)))</f>
        <v>#NUM!</v>
      </c>
      <c r="F6" s="64" t="e">
        <f>IF(A6=0,0,SUMPRODUCT((记录!$C$2:$C$16=$D$1)*(MONTH(记录!$A$2:$A$16)&lt;=$B$1)*(记录!$B$2:$B$16=$B6)*记录!$G$2:$G$16))</f>
        <v>#NUM!</v>
      </c>
      <c r="G6" s="65" t="e">
        <f t="array" ref="G6">INDEX(记录!H$2:H$16,SMALL(IF((MONTH(记录!$A$2:$A$16)=按业务员查询!$B$1)*(记录!$C$2:$C$16=$D$1),ROW(记录!H$2:H$16)-1),ROW(4:4)))</f>
        <v>#NUM!</v>
      </c>
      <c r="H6" s="16" t="e">
        <f>IF(A6=0,0,SUMPRODUCT((记录!$C$2:$C$16=$D$1)*(MONTH(记录!$A$2:$A$16)&lt;=$B$1)*(记录!$B$2:$B$16=$B6)*记录!$H$2:$H$16))</f>
        <v>#NUM!</v>
      </c>
      <c r="I6" s="62" t="e">
        <f t="array" ref="I6">INDEX(记录!I$2:I$16,SMALL(IF((MONTH(记录!$A$2:$A$16)=按业务员查询!$B$1)*(记录!$C$2:$C$16=$D$1),ROW(记录!I$2:I$16)-1),ROW(4:4)))</f>
        <v>#NUM!</v>
      </c>
      <c r="J6" s="65" t="e">
        <f t="array" ref="J6">INDEX(记录!J$2:J$16,SMALL(IF((MONTH(记录!$A$2:$A$16)=按业务员查询!$B$1)*(记录!$C$2:$C$16=$D$1),ROW(记录!J$2:J$16)-1),ROW(4:4)))</f>
        <v>#NUM!</v>
      </c>
      <c r="K6" s="16" t="e">
        <f>IF(A6=0,0,SUMPRODUCT((记录!$C$2:$C$16=$D$1)*(MONTH(记录!$A$2:$A$16)&lt;=$B$1)*(记录!$B$2:$B$16=$B6)*记录!$J$2:$J$16))</f>
        <v>#NUM!</v>
      </c>
      <c r="L6" s="65" t="e">
        <f t="array" ref="L6">INDEX(记录!K$2:K$16,SMALL(IF((MONTH(记录!$A$2:$A$16)=按业务员查询!$B$1)*(记录!$C$2:$C$16=$D$1),ROW(记录!K$2:K$16)-1),ROW(4:4)))</f>
        <v>#NUM!</v>
      </c>
      <c r="M6" s="24" t="e">
        <f t="shared" si="0"/>
        <v>#NUM!</v>
      </c>
      <c r="N6" s="67" t="e">
        <f t="array" ref="N6">INDEX(记录!L$2:L$16,SMALL(IF((MONTH(记录!$A$2:$A$16)=按业务员查询!$B$1)*(记录!$C$2:$C$16=$D$1),ROW(记录!L$2:L$16)-1),ROW(4:4)))</f>
        <v>#NUM!</v>
      </c>
      <c r="O6" s="61" t="e">
        <f t="array" ref="O6">INDEX(记录!M$2:M$16,SMALL(IF((MONTH(记录!$A$2:$A$16)=按业务员查询!$B$1)*(记录!$C$2:$C$16=$D$1),ROW(记录!M$2:M$16)-1),ROW(4:4)))</f>
        <v>#NUM!</v>
      </c>
      <c r="P6" s="63" t="e">
        <f t="array" ref="P6">INDEX(记录!N$2:N$16,SMALL(IF((MONTH(记录!$A$2:$A$16)=按业务员查询!$B$1)*(记录!$C$2:$C$16=$D$1),ROW(记录!N$2:N$16)-1),ROW(4:4)))</f>
        <v>#NUM!</v>
      </c>
      <c r="Q6" s="26" t="e">
        <f>IF(G6=0,0,SUMPRODUCT((记录!$C$2:$C$16=$D$1)*(MONTH(记录!$A$2:$A$16)&lt;=$B$1)*(记录!$B$2:$B$16=$B6)*记录!$O$2:$O$16))</f>
        <v>#NUM!</v>
      </c>
      <c r="R6" s="27" t="e">
        <f>IF(H6=0,0,SUMPRODUCT((记录!$C$2:$C$16=$D$1)*(MONTH(记录!$A$2:$A$16)&lt;=$B$1)*(记录!$B$2:$B$16=$B6)*记录!$P$2:$P$16))</f>
        <v>#NUM!</v>
      </c>
      <c r="S6" s="27" t="e">
        <f>IF(I6=0,0,SUMPRODUCT((记录!$C$2:$C$16=$D$1)*(MONTH(记录!$A$2:$A$16)&lt;=$B$1)*(记录!$B$2:$B$16=$B6)*记录!$Q$2:$Q$16))</f>
        <v>#NUM!</v>
      </c>
      <c r="T6" s="27" t="e">
        <f>IF(J6=0,0,SUMPRODUCT((记录!$C$2:$C$16=$D$1)*(MONTH(记录!$A$2:$A$16)&lt;=$B$1)*(记录!$B$2:$B$16=$B6)*记录!$R$2:$R$16))</f>
        <v>#NUM!</v>
      </c>
      <c r="U6" s="34" t="e">
        <f>IF(K6=0,0,SUMPRODUCT((记录!$C$2:$C$16=$D$1)*(MONTH(记录!$A$2:$A$16)&lt;=$B$1)*(记录!$B$2:$B$16=$B6)*记录!$S$2:$S$16))</f>
        <v>#NUM!</v>
      </c>
      <c r="V6" s="32"/>
      <c r="W6" s="28"/>
      <c r="Y6" s="35" t="s">
        <v>45</v>
      </c>
    </row>
    <row r="7" spans="1:25" ht="18" x14ac:dyDescent="0.35">
      <c r="A7" s="61" t="e">
        <f t="array" ref="A7">INDEX(记录!A$2:A$16,SMALL(IF((MONTH(记录!$A$2:$A$16)=按业务员查询!$B$1)*(记录!$C$2:$C$16=$D$1),ROW(记录!A$2:A$16)-1),ROW(5:5)))</f>
        <v>#NUM!</v>
      </c>
      <c r="B7" s="14" t="e">
        <f t="array" ref="B7">INDEX(记录!B$2:B$16,SMALL(IF((MONTH(记录!$A$2:$A$16)=按业务员查询!$B$1)*(记录!$C$2:$C$16=$D$1),ROW(记录!B$2:B$16)-1),ROW(5:5)))</f>
        <v>#NUM!</v>
      </c>
      <c r="C7" s="14" t="e">
        <f t="array" ref="C7">INDEX(记录!D$2:D$16,SMALL(IF((MONTH(记录!$A$2:$A$16)=按业务员查询!$B$1)*(记录!$C$2:$C$16=$D$1),ROW(记录!C$2:C$16)-1),ROW(5:5)))</f>
        <v>#NUM!</v>
      </c>
      <c r="D7" s="62" t="e">
        <f t="array" ref="D7">INDEX(记录!E$2:E$16,SMALL(IF((MONTH(记录!$A$2:$A$16)=按业务员查询!$B$1)*(记录!$C$2:$C$16=$D$1),ROW(记录!E$2:E$16)-1),ROW(5:5)))</f>
        <v>#NUM!</v>
      </c>
      <c r="E7" s="63" t="e">
        <f t="array" ref="E7">INDEX(记录!F$2:F$16,SMALL(IF((MONTH(记录!$A$2:$A$16)=按业务员查询!$B$1)*(记录!$C$2:$C$16=$D$1),ROW(记录!F$2:F$16)-1),ROW(5:5)))</f>
        <v>#NUM!</v>
      </c>
      <c r="F7" s="64" t="e">
        <f>IF(A7=0,0,SUMPRODUCT((记录!$C$2:$C$16=$D$1)*(MONTH(记录!$A$2:$A$16)&lt;=$B$1)*(记录!$B$2:$B$16=$B7)*记录!$G$2:$G$16))</f>
        <v>#NUM!</v>
      </c>
      <c r="G7" s="65" t="e">
        <f t="array" ref="G7">INDEX(记录!H$2:H$16,SMALL(IF((MONTH(记录!$A$2:$A$16)=按业务员查询!$B$1)*(记录!$C$2:$C$16=$D$1),ROW(记录!H$2:H$16)-1),ROW(5:5)))</f>
        <v>#NUM!</v>
      </c>
      <c r="H7" s="16" t="e">
        <f>IF(A7=0,0,SUMPRODUCT((记录!$C$2:$C$16=$D$1)*(MONTH(记录!$A$2:$A$16)&lt;=$B$1)*(记录!$B$2:$B$16=$B7)*记录!$H$2:$H$16))</f>
        <v>#NUM!</v>
      </c>
      <c r="I7" s="62" t="e">
        <f t="array" ref="I7">INDEX(记录!I$2:I$16,SMALL(IF((MONTH(记录!$A$2:$A$16)=按业务员查询!$B$1)*(记录!$C$2:$C$16=$D$1),ROW(记录!I$2:I$16)-1),ROW(5:5)))</f>
        <v>#NUM!</v>
      </c>
      <c r="J7" s="65" t="e">
        <f t="array" ref="J7">INDEX(记录!J$2:J$16,SMALL(IF((MONTH(记录!$A$2:$A$16)=按业务员查询!$B$1)*(记录!$C$2:$C$16=$D$1),ROW(记录!J$2:J$16)-1),ROW(5:5)))</f>
        <v>#NUM!</v>
      </c>
      <c r="K7" s="16" t="e">
        <f>IF(A7=0,0,SUMPRODUCT((记录!$C$2:$C$16=$D$1)*(MONTH(记录!$A$2:$A$16)&lt;=$B$1)*(记录!$B$2:$B$16=$B7)*记录!$J$2:$J$16))</f>
        <v>#NUM!</v>
      </c>
      <c r="L7" s="65" t="e">
        <f t="array" ref="L7">INDEX(记录!K$2:K$16,SMALL(IF((MONTH(记录!$A$2:$A$16)=按业务员查询!$B$1)*(记录!$C$2:$C$16=$D$1),ROW(记录!K$2:K$16)-1),ROW(5:5)))</f>
        <v>#NUM!</v>
      </c>
      <c r="M7" s="24" t="e">
        <f t="shared" si="0"/>
        <v>#NUM!</v>
      </c>
      <c r="N7" s="67" t="e">
        <f t="array" ref="N7">INDEX(记录!L$2:L$16,SMALL(IF((MONTH(记录!$A$2:$A$16)=按业务员查询!$B$1)*(记录!$C$2:$C$16=$D$1),ROW(记录!L$2:L$16)-1),ROW(5:5)))</f>
        <v>#NUM!</v>
      </c>
      <c r="O7" s="61" t="e">
        <f t="array" ref="O7">INDEX(记录!M$2:M$16,SMALL(IF((MONTH(记录!$A$2:$A$16)=按业务员查询!$B$1)*(记录!$C$2:$C$16=$D$1),ROW(记录!M$2:M$16)-1),ROW(5:5)))</f>
        <v>#NUM!</v>
      </c>
      <c r="P7" s="63" t="e">
        <f t="array" ref="P7">INDEX(记录!N$2:N$16,SMALL(IF((MONTH(记录!$A$2:$A$16)=按业务员查询!$B$1)*(记录!$C$2:$C$16=$D$1),ROW(记录!N$2:N$16)-1),ROW(5:5)))</f>
        <v>#NUM!</v>
      </c>
      <c r="Q7" s="26" t="e">
        <f>IF(G7=0,0,SUMPRODUCT((记录!$C$2:$C$16=$D$1)*(MONTH(记录!$A$2:$A$16)&lt;=$B$1)*(记录!$B$2:$B$16=$B7)*记录!$O$2:$O$16))</f>
        <v>#NUM!</v>
      </c>
      <c r="R7" s="27" t="e">
        <f>IF(H7=0,0,SUMPRODUCT((记录!$C$2:$C$16=$D$1)*(MONTH(记录!$A$2:$A$16)&lt;=$B$1)*(记录!$B$2:$B$16=$B7)*记录!$P$2:$P$16))</f>
        <v>#NUM!</v>
      </c>
      <c r="S7" s="27" t="e">
        <f>IF(I7=0,0,SUMPRODUCT((记录!$C$2:$C$16=$D$1)*(MONTH(记录!$A$2:$A$16)&lt;=$B$1)*(记录!$B$2:$B$16=$B7)*记录!$Q$2:$Q$16))</f>
        <v>#NUM!</v>
      </c>
      <c r="T7" s="27" t="e">
        <f>IF(J7=0,0,SUMPRODUCT((记录!$C$2:$C$16=$D$1)*(MONTH(记录!$A$2:$A$16)&lt;=$B$1)*(记录!$B$2:$B$16=$B7)*记录!$R$2:$R$16))</f>
        <v>#NUM!</v>
      </c>
      <c r="U7" s="34" t="e">
        <f>IF(K7=0,0,SUMPRODUCT((记录!$C$2:$C$16=$D$1)*(MONTH(记录!$A$2:$A$16)&lt;=$B$1)*(记录!$B$2:$B$16=$B7)*记录!$S$2:$S$16))</f>
        <v>#NUM!</v>
      </c>
      <c r="V7" s="32"/>
      <c r="W7" s="28"/>
      <c r="Y7" s="35" t="s">
        <v>36</v>
      </c>
    </row>
    <row r="8" spans="1:25" ht="18" x14ac:dyDescent="0.35">
      <c r="A8" s="61" t="e">
        <f t="array" ref="A8">INDEX(记录!A$2:A$16,SMALL(IF((MONTH(记录!$A$2:$A$16)=按业务员查询!$B$1)*(记录!$C$2:$C$16=$D$1),ROW(记录!A$2:A$16)-1),ROW(6:6)))</f>
        <v>#NUM!</v>
      </c>
      <c r="B8" s="14" t="e">
        <f t="array" ref="B8">INDEX(记录!B$2:B$16,SMALL(IF((MONTH(记录!$A$2:$A$16)=按业务员查询!$B$1)*(记录!$C$2:$C$16=$D$1),ROW(记录!B$2:B$16)-1),ROW(6:6)))</f>
        <v>#NUM!</v>
      </c>
      <c r="C8" s="14" t="e">
        <f t="array" ref="C8">INDEX(记录!D$2:D$16,SMALL(IF((MONTH(记录!$A$2:$A$16)=按业务员查询!$B$1)*(记录!$C$2:$C$16=$D$1),ROW(记录!C$2:C$16)-1),ROW(6:6)))</f>
        <v>#NUM!</v>
      </c>
      <c r="D8" s="62" t="e">
        <f t="array" ref="D8">INDEX(记录!E$2:E$16,SMALL(IF((MONTH(记录!$A$2:$A$16)=按业务员查询!$B$1)*(记录!$C$2:$C$16=$D$1),ROW(记录!E$2:E$16)-1),ROW(6:6)))</f>
        <v>#NUM!</v>
      </c>
      <c r="E8" s="63" t="e">
        <f t="array" ref="E8">INDEX(记录!F$2:F$16,SMALL(IF((MONTH(记录!$A$2:$A$16)=按业务员查询!$B$1)*(记录!$C$2:$C$16=$D$1),ROW(记录!F$2:F$16)-1),ROW(6:6)))</f>
        <v>#NUM!</v>
      </c>
      <c r="F8" s="64" t="e">
        <f>IF(A8=0,0,SUMPRODUCT((记录!$C$2:$C$16=$D$1)*(MONTH(记录!$A$2:$A$16)&lt;=$B$1)*(记录!$B$2:$B$16=$B8)*记录!$G$2:$G$16))</f>
        <v>#NUM!</v>
      </c>
      <c r="G8" s="65" t="e">
        <f t="array" ref="G8">INDEX(记录!H$2:H$16,SMALL(IF((MONTH(记录!$A$2:$A$16)=按业务员查询!$B$1)*(记录!$C$2:$C$16=$D$1),ROW(记录!H$2:H$16)-1),ROW(6:6)))</f>
        <v>#NUM!</v>
      </c>
      <c r="H8" s="16" t="e">
        <f>IF(A8=0,0,SUMPRODUCT((记录!$C$2:$C$16=$D$1)*(MONTH(记录!$A$2:$A$16)&lt;=$B$1)*(记录!$B$2:$B$16=$B8)*记录!$H$2:$H$16))</f>
        <v>#NUM!</v>
      </c>
      <c r="I8" s="62" t="e">
        <f t="array" ref="I8">INDEX(记录!I$2:I$16,SMALL(IF((MONTH(记录!$A$2:$A$16)=按业务员查询!$B$1)*(记录!$C$2:$C$16=$D$1),ROW(记录!I$2:I$16)-1),ROW(6:6)))</f>
        <v>#NUM!</v>
      </c>
      <c r="J8" s="65" t="e">
        <f t="array" ref="J8">INDEX(记录!J$2:J$16,SMALL(IF((MONTH(记录!$A$2:$A$16)=按业务员查询!$B$1)*(记录!$C$2:$C$16=$D$1),ROW(记录!J$2:J$16)-1),ROW(6:6)))</f>
        <v>#NUM!</v>
      </c>
      <c r="K8" s="16" t="e">
        <f>IF(A8=0,0,SUMPRODUCT((记录!$C$2:$C$16=$D$1)*(MONTH(记录!$A$2:$A$16)&lt;=$B$1)*(记录!$B$2:$B$16=$B8)*记录!$J$2:$J$16))</f>
        <v>#NUM!</v>
      </c>
      <c r="L8" s="65" t="e">
        <f t="array" ref="L8">INDEX(记录!K$2:K$16,SMALL(IF((MONTH(记录!$A$2:$A$16)=按业务员查询!$B$1)*(记录!$C$2:$C$16=$D$1),ROW(记录!K$2:K$16)-1),ROW(6:6)))</f>
        <v>#NUM!</v>
      </c>
      <c r="M8" s="24" t="e">
        <f t="shared" si="0"/>
        <v>#NUM!</v>
      </c>
      <c r="N8" s="67" t="e">
        <f t="array" ref="N8">INDEX(记录!L$2:L$16,SMALL(IF((MONTH(记录!$A$2:$A$16)=按业务员查询!$B$1)*(记录!$C$2:$C$16=$D$1),ROW(记录!L$2:L$16)-1),ROW(6:6)))</f>
        <v>#NUM!</v>
      </c>
      <c r="O8" s="61" t="e">
        <f t="array" ref="O8">INDEX(记录!M$2:M$16,SMALL(IF((MONTH(记录!$A$2:$A$16)=按业务员查询!$B$1)*(记录!$C$2:$C$16=$D$1),ROW(记录!M$2:M$16)-1),ROW(6:6)))</f>
        <v>#NUM!</v>
      </c>
      <c r="P8" s="63" t="e">
        <f t="array" ref="P8">INDEX(记录!N$2:N$16,SMALL(IF((MONTH(记录!$A$2:$A$16)=按业务员查询!$B$1)*(记录!$C$2:$C$16=$D$1),ROW(记录!N$2:N$16)-1),ROW(6:6)))</f>
        <v>#NUM!</v>
      </c>
      <c r="Q8" s="26" t="e">
        <f>IF(G8=0,0,SUMPRODUCT((记录!$C$2:$C$16=$D$1)*(MONTH(记录!$A$2:$A$16)&lt;=$B$1)*(记录!$B$2:$B$16=$B8)*记录!$O$2:$O$16))</f>
        <v>#NUM!</v>
      </c>
      <c r="R8" s="27" t="e">
        <f>IF(H8=0,0,SUMPRODUCT((记录!$C$2:$C$16=$D$1)*(MONTH(记录!$A$2:$A$16)&lt;=$B$1)*(记录!$B$2:$B$16=$B8)*记录!$P$2:$P$16))</f>
        <v>#NUM!</v>
      </c>
      <c r="S8" s="27" t="e">
        <f>IF(I8=0,0,SUMPRODUCT((记录!$C$2:$C$16=$D$1)*(MONTH(记录!$A$2:$A$16)&lt;=$B$1)*(记录!$B$2:$B$16=$B8)*记录!$Q$2:$Q$16))</f>
        <v>#NUM!</v>
      </c>
      <c r="T8" s="27" t="e">
        <f>IF(J8=0,0,SUMPRODUCT((记录!$C$2:$C$16=$D$1)*(MONTH(记录!$A$2:$A$16)&lt;=$B$1)*(记录!$B$2:$B$16=$B8)*记录!$R$2:$R$16))</f>
        <v>#NUM!</v>
      </c>
      <c r="U8" s="34" t="e">
        <f>IF(K8=0,0,SUMPRODUCT((记录!$C$2:$C$16=$D$1)*(MONTH(记录!$A$2:$A$16)&lt;=$B$1)*(记录!$B$2:$B$16=$B8)*记录!$S$2:$S$16))</f>
        <v>#NUM!</v>
      </c>
      <c r="V8" s="32"/>
      <c r="W8" s="28"/>
      <c r="Y8" s="35" t="s">
        <v>22</v>
      </c>
    </row>
    <row r="9" spans="1:25" ht="18" x14ac:dyDescent="0.35">
      <c r="A9" s="61" t="e">
        <f t="array" ref="A9">INDEX(记录!A$2:A$16,SMALL(IF((MONTH(记录!$A$2:$A$16)=按业务员查询!$B$1)*(记录!$C$2:$C$16=$D$1),ROW(记录!A$2:A$16)-1),ROW(7:7)))</f>
        <v>#NUM!</v>
      </c>
      <c r="B9" s="14" t="e">
        <f t="array" ref="B9">INDEX(记录!B$2:B$16,SMALL(IF((MONTH(记录!$A$2:$A$16)=按业务员查询!$B$1)*(记录!$C$2:$C$16=$D$1),ROW(记录!B$2:B$16)-1),ROW(7:7)))</f>
        <v>#NUM!</v>
      </c>
      <c r="C9" s="14" t="e">
        <f t="array" ref="C9">INDEX(记录!D$2:D$16,SMALL(IF((MONTH(记录!$A$2:$A$16)=按业务员查询!$B$1)*(记录!$C$2:$C$16=$D$1),ROW(记录!C$2:C$16)-1),ROW(7:7)))</f>
        <v>#NUM!</v>
      </c>
      <c r="D9" s="62" t="e">
        <f t="array" ref="D9">INDEX(记录!E$2:E$16,SMALL(IF((MONTH(记录!$A$2:$A$16)=按业务员查询!$B$1)*(记录!$C$2:$C$16=$D$1),ROW(记录!E$2:E$16)-1),ROW(7:7)))</f>
        <v>#NUM!</v>
      </c>
      <c r="E9" s="63" t="e">
        <f t="array" ref="E9">INDEX(记录!F$2:F$16,SMALL(IF((MONTH(记录!$A$2:$A$16)=按业务员查询!$B$1)*(记录!$C$2:$C$16=$D$1),ROW(记录!F$2:F$16)-1),ROW(7:7)))</f>
        <v>#NUM!</v>
      </c>
      <c r="F9" s="64" t="e">
        <f>IF(A9=0,0,SUMPRODUCT((记录!$C$2:$C$16=$D$1)*(MONTH(记录!$A$2:$A$16)&lt;=$B$1)*(记录!$B$2:$B$16=$B9)*记录!$G$2:$G$16))</f>
        <v>#NUM!</v>
      </c>
      <c r="G9" s="65" t="e">
        <f t="array" ref="G9">INDEX(记录!H$2:H$16,SMALL(IF((MONTH(记录!$A$2:$A$16)=按业务员查询!$B$1)*(记录!$C$2:$C$16=$D$1),ROW(记录!H$2:H$16)-1),ROW(7:7)))</f>
        <v>#NUM!</v>
      </c>
      <c r="H9" s="16" t="e">
        <f>IF(A9=0,0,SUMPRODUCT((记录!$C$2:$C$16=$D$1)*(MONTH(记录!$A$2:$A$16)&lt;=$B$1)*(记录!$B$2:$B$16=$B9)*记录!$H$2:$H$16))</f>
        <v>#NUM!</v>
      </c>
      <c r="I9" s="62" t="e">
        <f t="array" ref="I9">INDEX(记录!I$2:I$16,SMALL(IF((MONTH(记录!$A$2:$A$16)=按业务员查询!$B$1)*(记录!$C$2:$C$16=$D$1),ROW(记录!I$2:I$16)-1),ROW(7:7)))</f>
        <v>#NUM!</v>
      </c>
      <c r="J9" s="65" t="e">
        <f t="array" ref="J9">INDEX(记录!J$2:J$16,SMALL(IF((MONTH(记录!$A$2:$A$16)=按业务员查询!$B$1)*(记录!$C$2:$C$16=$D$1),ROW(记录!J$2:J$16)-1),ROW(7:7)))</f>
        <v>#NUM!</v>
      </c>
      <c r="K9" s="16" t="e">
        <f>IF(A9=0,0,SUMPRODUCT((记录!$C$2:$C$16=$D$1)*(MONTH(记录!$A$2:$A$16)&lt;=$B$1)*(记录!$B$2:$B$16=$B9)*记录!$J$2:$J$16))</f>
        <v>#NUM!</v>
      </c>
      <c r="L9" s="65" t="e">
        <f t="array" ref="L9">INDEX(记录!K$2:K$16,SMALL(IF((MONTH(记录!$A$2:$A$16)=按业务员查询!$B$1)*(记录!$C$2:$C$16=$D$1),ROW(记录!K$2:K$16)-1),ROW(7:7)))</f>
        <v>#NUM!</v>
      </c>
      <c r="M9" s="24" t="e">
        <f t="shared" si="0"/>
        <v>#NUM!</v>
      </c>
      <c r="N9" s="67" t="e">
        <f t="array" ref="N9">INDEX(记录!L$2:L$16,SMALL(IF((MONTH(记录!$A$2:$A$16)=按业务员查询!$B$1)*(记录!$C$2:$C$16=$D$1),ROW(记录!L$2:L$16)-1),ROW(7:7)))</f>
        <v>#NUM!</v>
      </c>
      <c r="O9" s="61" t="e">
        <f t="array" ref="O9">INDEX(记录!M$2:M$16,SMALL(IF((MONTH(记录!$A$2:$A$16)=按业务员查询!$B$1)*(记录!$C$2:$C$16=$D$1),ROW(记录!M$2:M$16)-1),ROW(7:7)))</f>
        <v>#NUM!</v>
      </c>
      <c r="P9" s="63" t="e">
        <f t="array" ref="P9">INDEX(记录!N$2:N$16,SMALL(IF((MONTH(记录!$A$2:$A$16)=按业务员查询!$B$1)*(记录!$C$2:$C$16=$D$1),ROW(记录!N$2:N$16)-1),ROW(7:7)))</f>
        <v>#NUM!</v>
      </c>
      <c r="Q9" s="26" t="e">
        <f>IF(G9=0,0,SUMPRODUCT((记录!$C$2:$C$16=$D$1)*(MONTH(记录!$A$2:$A$16)&lt;=$B$1)*(记录!$B$2:$B$16=$B9)*记录!$O$2:$O$16))</f>
        <v>#NUM!</v>
      </c>
      <c r="R9" s="27" t="e">
        <f>IF(H9=0,0,SUMPRODUCT((记录!$C$2:$C$16=$D$1)*(MONTH(记录!$A$2:$A$16)&lt;=$B$1)*(记录!$B$2:$B$16=$B9)*记录!$P$2:$P$16))</f>
        <v>#NUM!</v>
      </c>
      <c r="S9" s="27" t="e">
        <f>IF(I9=0,0,SUMPRODUCT((记录!$C$2:$C$16=$D$1)*(MONTH(记录!$A$2:$A$16)&lt;=$B$1)*(记录!$B$2:$B$16=$B9)*记录!$Q$2:$Q$16))</f>
        <v>#NUM!</v>
      </c>
      <c r="T9" s="27" t="e">
        <f>IF(J9=0,0,SUMPRODUCT((记录!$C$2:$C$16=$D$1)*(MONTH(记录!$A$2:$A$16)&lt;=$B$1)*(记录!$B$2:$B$16=$B9)*记录!$R$2:$R$16))</f>
        <v>#NUM!</v>
      </c>
      <c r="U9" s="34" t="e">
        <f>IF(K9=0,0,SUMPRODUCT((记录!$C$2:$C$16=$D$1)*(MONTH(记录!$A$2:$A$16)&lt;=$B$1)*(记录!$B$2:$B$16=$B9)*记录!$S$2:$S$16))</f>
        <v>#NUM!</v>
      </c>
      <c r="V9" s="32"/>
      <c r="W9" s="28"/>
      <c r="Y9" s="35" t="s">
        <v>48</v>
      </c>
    </row>
    <row r="10" spans="1:25" ht="18" x14ac:dyDescent="0.35">
      <c r="A10" s="61" t="e">
        <f t="array" ref="A10">INDEX(记录!A$2:A$16,SMALL(IF((MONTH(记录!$A$2:$A$16)=按业务员查询!$B$1)*(记录!$C$2:$C$16=$D$1),ROW(记录!A$2:A$16)-1),ROW(8:8)))</f>
        <v>#NUM!</v>
      </c>
      <c r="B10" s="14" t="e">
        <f t="array" ref="B10">INDEX(记录!B$2:B$16,SMALL(IF((MONTH(记录!$A$2:$A$16)=按业务员查询!$B$1)*(记录!$C$2:$C$16=$D$1),ROW(记录!B$2:B$16)-1),ROW(8:8)))</f>
        <v>#NUM!</v>
      </c>
      <c r="C10" s="14" t="e">
        <f t="array" ref="C10">INDEX(记录!D$2:D$16,SMALL(IF((MONTH(记录!$A$2:$A$16)=按业务员查询!$B$1)*(记录!$C$2:$C$16=$D$1),ROW(记录!C$2:C$16)-1),ROW(8:8)))</f>
        <v>#NUM!</v>
      </c>
      <c r="D10" s="62" t="e">
        <f t="array" ref="D10">INDEX(记录!E$2:E$16,SMALL(IF((MONTH(记录!$A$2:$A$16)=按业务员查询!$B$1)*(记录!$C$2:$C$16=$D$1),ROW(记录!E$2:E$16)-1),ROW(8:8)))</f>
        <v>#NUM!</v>
      </c>
      <c r="E10" s="63" t="e">
        <f t="array" ref="E10">INDEX(记录!F$2:F$16,SMALL(IF((MONTH(记录!$A$2:$A$16)=按业务员查询!$B$1)*(记录!$C$2:$C$16=$D$1),ROW(记录!F$2:F$16)-1),ROW(8:8)))</f>
        <v>#NUM!</v>
      </c>
      <c r="F10" s="64" t="e">
        <f>IF(A10=0,0,SUMPRODUCT((记录!$C$2:$C$16=$D$1)*(MONTH(记录!$A$2:$A$16)&lt;=$B$1)*(记录!$B$2:$B$16=$B10)*记录!$G$2:$G$16))</f>
        <v>#NUM!</v>
      </c>
      <c r="G10" s="65" t="e">
        <f t="array" ref="G10">INDEX(记录!H$2:H$16,SMALL(IF((MONTH(记录!$A$2:$A$16)=按业务员查询!$B$1)*(记录!$C$2:$C$16=$D$1),ROW(记录!H$2:H$16)-1),ROW(8:8)))</f>
        <v>#NUM!</v>
      </c>
      <c r="H10" s="16" t="e">
        <f>IF(A10=0,0,SUMPRODUCT((记录!$C$2:$C$16=$D$1)*(MONTH(记录!$A$2:$A$16)&lt;=$B$1)*(记录!$B$2:$B$16=$B10)*记录!$H$2:$H$16))</f>
        <v>#NUM!</v>
      </c>
      <c r="I10" s="62" t="e">
        <f t="array" ref="I10">INDEX(记录!I$2:I$16,SMALL(IF((MONTH(记录!$A$2:$A$16)=按业务员查询!$B$1)*(记录!$C$2:$C$16=$D$1),ROW(记录!I$2:I$16)-1),ROW(8:8)))</f>
        <v>#NUM!</v>
      </c>
      <c r="J10" s="65" t="e">
        <f t="array" ref="J10">INDEX(记录!J$2:J$16,SMALL(IF((MONTH(记录!$A$2:$A$16)=按业务员查询!$B$1)*(记录!$C$2:$C$16=$D$1),ROW(记录!J$2:J$16)-1),ROW(8:8)))</f>
        <v>#NUM!</v>
      </c>
      <c r="K10" s="16" t="e">
        <f>IF(A10=0,0,SUMPRODUCT((记录!$C$2:$C$16=$D$1)*(MONTH(记录!$A$2:$A$16)&lt;=$B$1)*(记录!$B$2:$B$16=$B10)*记录!$J$2:$J$16))</f>
        <v>#NUM!</v>
      </c>
      <c r="L10" s="65" t="e">
        <f t="array" ref="L10">INDEX(记录!K$2:K$16,SMALL(IF((MONTH(记录!$A$2:$A$16)=按业务员查询!$B$1)*(记录!$C$2:$C$16=$D$1),ROW(记录!K$2:K$16)-1),ROW(8:8)))</f>
        <v>#NUM!</v>
      </c>
      <c r="M10" s="24" t="e">
        <f t="shared" si="0"/>
        <v>#NUM!</v>
      </c>
      <c r="N10" s="67" t="e">
        <f t="array" ref="N10">INDEX(记录!L$2:L$16,SMALL(IF((MONTH(记录!$A$2:$A$16)=按业务员查询!$B$1)*(记录!$C$2:$C$16=$D$1),ROW(记录!L$2:L$16)-1),ROW(8:8)))</f>
        <v>#NUM!</v>
      </c>
      <c r="O10" s="61" t="e">
        <f t="array" ref="O10">INDEX(记录!M$2:M$16,SMALL(IF((MONTH(记录!$A$2:$A$16)=按业务员查询!$B$1)*(记录!$C$2:$C$16=$D$1),ROW(记录!M$2:M$16)-1),ROW(8:8)))</f>
        <v>#NUM!</v>
      </c>
      <c r="P10" s="63" t="e">
        <f t="array" ref="P10">INDEX(记录!N$2:N$16,SMALL(IF((MONTH(记录!$A$2:$A$16)=按业务员查询!$B$1)*(记录!$C$2:$C$16=$D$1),ROW(记录!N$2:N$16)-1),ROW(8:8)))</f>
        <v>#NUM!</v>
      </c>
      <c r="Q10" s="26" t="e">
        <f>IF(G10=0,0,SUMPRODUCT((记录!$C$2:$C$16=$D$1)*(MONTH(记录!$A$2:$A$16)&lt;=$B$1)*(记录!$B$2:$B$16=$B10)*记录!$O$2:$O$16))</f>
        <v>#NUM!</v>
      </c>
      <c r="R10" s="27" t="e">
        <f>IF(H10=0,0,SUMPRODUCT((记录!$C$2:$C$16=$D$1)*(MONTH(记录!$A$2:$A$16)&lt;=$B$1)*(记录!$B$2:$B$16=$B10)*记录!$P$2:$P$16))</f>
        <v>#NUM!</v>
      </c>
      <c r="S10" s="27" t="e">
        <f>IF(I10=0,0,SUMPRODUCT((记录!$C$2:$C$16=$D$1)*(MONTH(记录!$A$2:$A$16)&lt;=$B$1)*(记录!$B$2:$B$16=$B10)*记录!$Q$2:$Q$16))</f>
        <v>#NUM!</v>
      </c>
      <c r="T10" s="27" t="e">
        <f>IF(J10=0,0,SUMPRODUCT((记录!$C$2:$C$16=$D$1)*(MONTH(记录!$A$2:$A$16)&lt;=$B$1)*(记录!$B$2:$B$16=$B10)*记录!$R$2:$R$16))</f>
        <v>#NUM!</v>
      </c>
      <c r="U10" s="34" t="e">
        <f>IF(K10=0,0,SUMPRODUCT((记录!$C$2:$C$16=$D$1)*(MONTH(记录!$A$2:$A$16)&lt;=$B$1)*(记录!$B$2:$B$16=$B10)*记录!$S$2:$S$16))</f>
        <v>#NUM!</v>
      </c>
      <c r="V10" s="32"/>
      <c r="W10" s="28"/>
      <c r="Y10" s="33" t="s">
        <v>52</v>
      </c>
    </row>
    <row r="11" spans="1:25" ht="18" x14ac:dyDescent="0.35">
      <c r="A11" s="61" t="e">
        <f t="array" ref="A11">INDEX(记录!A$2:A$16,SMALL(IF((MONTH(记录!$A$2:$A$16)=按业务员查询!$B$1)*(记录!$C$2:$C$16=$D$1),ROW(记录!A$2:A$16)-1),ROW(9:9)))</f>
        <v>#NUM!</v>
      </c>
      <c r="B11" s="14" t="e">
        <f t="array" ref="B11">INDEX(记录!B$2:B$16,SMALL(IF((MONTH(记录!$A$2:$A$16)=按业务员查询!$B$1)*(记录!$C$2:$C$16=$D$1),ROW(记录!B$2:B$16)-1),ROW(9:9)))</f>
        <v>#NUM!</v>
      </c>
      <c r="C11" s="14" t="e">
        <f t="array" ref="C11">INDEX(记录!D$2:D$16,SMALL(IF((MONTH(记录!$A$2:$A$16)=按业务员查询!$B$1)*(记录!$C$2:$C$16=$D$1),ROW(记录!C$2:C$16)-1),ROW(9:9)))</f>
        <v>#NUM!</v>
      </c>
      <c r="D11" s="62" t="e">
        <f t="array" ref="D11">INDEX(记录!E$2:E$16,SMALL(IF((MONTH(记录!$A$2:$A$16)=按业务员查询!$B$1)*(记录!$C$2:$C$16=$D$1),ROW(记录!E$2:E$16)-1),ROW(9:9)))</f>
        <v>#NUM!</v>
      </c>
      <c r="E11" s="63" t="e">
        <f t="array" ref="E11">INDEX(记录!F$2:F$16,SMALL(IF((MONTH(记录!$A$2:$A$16)=按业务员查询!$B$1)*(记录!$C$2:$C$16=$D$1),ROW(记录!F$2:F$16)-1),ROW(9:9)))</f>
        <v>#NUM!</v>
      </c>
      <c r="F11" s="64" t="e">
        <f>IF(A11=0,0,SUMPRODUCT((记录!$C$2:$C$16=$D$1)*(MONTH(记录!$A$2:$A$16)&lt;=$B$1)*(记录!$B$2:$B$16=$B11)*记录!$G$2:$G$16))</f>
        <v>#NUM!</v>
      </c>
      <c r="G11" s="65" t="e">
        <f t="array" ref="G11">INDEX(记录!H$2:H$16,SMALL(IF((MONTH(记录!$A$2:$A$16)=按业务员查询!$B$1)*(记录!$C$2:$C$16=$D$1),ROW(记录!H$2:H$16)-1),ROW(9:9)))</f>
        <v>#NUM!</v>
      </c>
      <c r="H11" s="16" t="e">
        <f>IF(A11=0,0,SUMPRODUCT((记录!$C$2:$C$16=$D$1)*(MONTH(记录!$A$2:$A$16)&lt;=$B$1)*(记录!$B$2:$B$16=$B11)*记录!$H$2:$H$16))</f>
        <v>#NUM!</v>
      </c>
      <c r="I11" s="62" t="e">
        <f t="array" ref="I11">INDEX(记录!I$2:I$16,SMALL(IF((MONTH(记录!$A$2:$A$16)=按业务员查询!$B$1)*(记录!$C$2:$C$16=$D$1),ROW(记录!I$2:I$16)-1),ROW(9:9)))</f>
        <v>#NUM!</v>
      </c>
      <c r="J11" s="65" t="e">
        <f t="array" ref="J11">INDEX(记录!J$2:J$16,SMALL(IF((MONTH(记录!$A$2:$A$16)=按业务员查询!$B$1)*(记录!$C$2:$C$16=$D$1),ROW(记录!J$2:J$16)-1),ROW(9:9)))</f>
        <v>#NUM!</v>
      </c>
      <c r="K11" s="16" t="e">
        <f>IF(A11=0,0,SUMPRODUCT((记录!$C$2:$C$16=$D$1)*(MONTH(记录!$A$2:$A$16)&lt;=$B$1)*(记录!$B$2:$B$16=$B11)*记录!$J$2:$J$16))</f>
        <v>#NUM!</v>
      </c>
      <c r="L11" s="65" t="e">
        <f t="array" ref="L11">INDEX(记录!K$2:K$16,SMALL(IF((MONTH(记录!$A$2:$A$16)=按业务员查询!$B$1)*(记录!$C$2:$C$16=$D$1),ROW(记录!K$2:K$16)-1),ROW(9:9)))</f>
        <v>#NUM!</v>
      </c>
      <c r="M11" s="24" t="e">
        <f t="shared" si="0"/>
        <v>#NUM!</v>
      </c>
      <c r="N11" s="67" t="e">
        <f t="array" ref="N11">INDEX(记录!L$2:L$16,SMALL(IF((MONTH(记录!$A$2:$A$16)=按业务员查询!$B$1)*(记录!$C$2:$C$16=$D$1),ROW(记录!L$2:L$16)-1),ROW(9:9)))</f>
        <v>#NUM!</v>
      </c>
      <c r="O11" s="61" t="e">
        <f t="array" ref="O11">INDEX(记录!M$2:M$16,SMALL(IF((MONTH(记录!$A$2:$A$16)=按业务员查询!$B$1)*(记录!$C$2:$C$16=$D$1),ROW(记录!M$2:M$16)-1),ROW(9:9)))</f>
        <v>#NUM!</v>
      </c>
      <c r="P11" s="63" t="e">
        <f t="array" ref="P11">INDEX(记录!N$2:N$16,SMALL(IF((MONTH(记录!$A$2:$A$16)=按业务员查询!$B$1)*(记录!$C$2:$C$16=$D$1),ROW(记录!N$2:N$16)-1),ROW(9:9)))</f>
        <v>#NUM!</v>
      </c>
      <c r="Q11" s="26" t="e">
        <f>IF(G11=0,0,SUMPRODUCT((记录!$C$2:$C$16=$D$1)*(MONTH(记录!$A$2:$A$16)&lt;=$B$1)*(记录!$B$2:$B$16=$B11)*记录!$O$2:$O$16))</f>
        <v>#NUM!</v>
      </c>
      <c r="R11" s="27" t="e">
        <f>IF(H11=0,0,SUMPRODUCT((记录!$C$2:$C$16=$D$1)*(MONTH(记录!$A$2:$A$16)&lt;=$B$1)*(记录!$B$2:$B$16=$B11)*记录!$P$2:$P$16))</f>
        <v>#NUM!</v>
      </c>
      <c r="S11" s="27" t="e">
        <f>IF(I11=0,0,SUMPRODUCT((记录!$C$2:$C$16=$D$1)*(MONTH(记录!$A$2:$A$16)&lt;=$B$1)*(记录!$B$2:$B$16=$B11)*记录!$Q$2:$Q$16))</f>
        <v>#NUM!</v>
      </c>
      <c r="T11" s="27" t="e">
        <f>IF(J11=0,0,SUMPRODUCT((记录!$C$2:$C$16=$D$1)*(MONTH(记录!$A$2:$A$16)&lt;=$B$1)*(记录!$B$2:$B$16=$B11)*记录!$R$2:$R$16))</f>
        <v>#NUM!</v>
      </c>
      <c r="U11" s="34" t="e">
        <f>IF(K11=0,0,SUMPRODUCT((记录!$C$2:$C$16=$D$1)*(MONTH(记录!$A$2:$A$16)&lt;=$B$1)*(记录!$B$2:$B$16=$B11)*记录!$S$2:$S$16))</f>
        <v>#NUM!</v>
      </c>
      <c r="V11" s="32"/>
      <c r="W11" s="28"/>
      <c r="Y11" s="35" t="s">
        <v>65</v>
      </c>
    </row>
    <row r="12" spans="1:25" ht="18" x14ac:dyDescent="0.35">
      <c r="A12" s="61" t="e">
        <f t="array" ref="A12">INDEX(记录!A$2:A$16,SMALL(IF((MONTH(记录!$A$2:$A$16)=按业务员查询!$B$1)*(记录!$C$2:$C$16=$D$1),ROW(记录!A$2:A$16)-1),ROW(10:10)))</f>
        <v>#NUM!</v>
      </c>
      <c r="B12" s="14" t="e">
        <f t="array" ref="B12">INDEX(记录!B$2:B$16,SMALL(IF((MONTH(记录!$A$2:$A$16)=按业务员查询!$B$1)*(记录!$C$2:$C$16=$D$1),ROW(记录!B$2:B$16)-1),ROW(10:10)))</f>
        <v>#NUM!</v>
      </c>
      <c r="C12" s="14" t="e">
        <f t="array" ref="C12">INDEX(记录!D$2:D$16,SMALL(IF((MONTH(记录!$A$2:$A$16)=按业务员查询!$B$1)*(记录!$C$2:$C$16=$D$1),ROW(记录!C$2:C$16)-1),ROW(10:10)))</f>
        <v>#NUM!</v>
      </c>
      <c r="D12" s="62" t="e">
        <f t="array" ref="D12">INDEX(记录!E$2:E$16,SMALL(IF((MONTH(记录!$A$2:$A$16)=按业务员查询!$B$1)*(记录!$C$2:$C$16=$D$1),ROW(记录!E$2:E$16)-1),ROW(10:10)))</f>
        <v>#NUM!</v>
      </c>
      <c r="E12" s="63" t="e">
        <f t="array" ref="E12">INDEX(记录!F$2:F$16,SMALL(IF((MONTH(记录!$A$2:$A$16)=按业务员查询!$B$1)*(记录!$C$2:$C$16=$D$1),ROW(记录!F$2:F$16)-1),ROW(10:10)))</f>
        <v>#NUM!</v>
      </c>
      <c r="F12" s="64" t="e">
        <f>IF(A12=0,0,SUMPRODUCT((记录!$C$2:$C$16=$D$1)*(MONTH(记录!$A$2:$A$16)&lt;=$B$1)*(记录!$B$2:$B$16=$B12)*记录!$G$2:$G$16))</f>
        <v>#NUM!</v>
      </c>
      <c r="G12" s="65" t="e">
        <f t="array" ref="G12">INDEX(记录!H$2:H$16,SMALL(IF((MONTH(记录!$A$2:$A$16)=按业务员查询!$B$1)*(记录!$C$2:$C$16=$D$1),ROW(记录!H$2:H$16)-1),ROW(10:10)))</f>
        <v>#NUM!</v>
      </c>
      <c r="H12" s="16" t="e">
        <f>IF(A12=0,0,SUMPRODUCT((记录!$C$2:$C$16=$D$1)*(MONTH(记录!$A$2:$A$16)&lt;=$B$1)*(记录!$B$2:$B$16=$B12)*记录!$H$2:$H$16))</f>
        <v>#NUM!</v>
      </c>
      <c r="I12" s="62" t="e">
        <f t="array" ref="I12">INDEX(记录!I$2:I$16,SMALL(IF((MONTH(记录!$A$2:$A$16)=按业务员查询!$B$1)*(记录!$C$2:$C$16=$D$1),ROW(记录!I$2:I$16)-1),ROW(10:10)))</f>
        <v>#NUM!</v>
      </c>
      <c r="J12" s="65" t="e">
        <f t="array" ref="J12">INDEX(记录!J$2:J$16,SMALL(IF((MONTH(记录!$A$2:$A$16)=按业务员查询!$B$1)*(记录!$C$2:$C$16=$D$1),ROW(记录!J$2:J$16)-1),ROW(10:10)))</f>
        <v>#NUM!</v>
      </c>
      <c r="K12" s="16" t="e">
        <f>IF(A12=0,0,SUMPRODUCT((记录!$C$2:$C$16=$D$1)*(MONTH(记录!$A$2:$A$16)&lt;=$B$1)*(记录!$B$2:$B$16=$B12)*记录!$J$2:$J$16))</f>
        <v>#NUM!</v>
      </c>
      <c r="L12" s="65" t="e">
        <f t="array" ref="L12">INDEX(记录!K$2:K$16,SMALL(IF((MONTH(记录!$A$2:$A$16)=按业务员查询!$B$1)*(记录!$C$2:$C$16=$D$1),ROW(记录!K$2:K$16)-1),ROW(10:10)))</f>
        <v>#NUM!</v>
      </c>
      <c r="M12" s="24" t="e">
        <f t="shared" si="0"/>
        <v>#NUM!</v>
      </c>
      <c r="N12" s="67" t="e">
        <f t="array" ref="N12">INDEX(记录!L$2:L$16,SMALL(IF((MONTH(记录!$A$2:$A$16)=按业务员查询!$B$1)*(记录!$C$2:$C$16=$D$1),ROW(记录!L$2:L$16)-1),ROW(10:10)))</f>
        <v>#NUM!</v>
      </c>
      <c r="O12" s="61" t="e">
        <f t="array" ref="O12">INDEX(记录!M$2:M$16,SMALL(IF((MONTH(记录!$A$2:$A$16)=按业务员查询!$B$1)*(记录!$C$2:$C$16=$D$1),ROW(记录!M$2:M$16)-1),ROW(10:10)))</f>
        <v>#NUM!</v>
      </c>
      <c r="P12" s="63" t="e">
        <f t="array" ref="P12">INDEX(记录!N$2:N$16,SMALL(IF((MONTH(记录!$A$2:$A$16)=按业务员查询!$B$1)*(记录!$C$2:$C$16=$D$1),ROW(记录!N$2:N$16)-1),ROW(10:10)))</f>
        <v>#NUM!</v>
      </c>
      <c r="Q12" s="26" t="e">
        <f>IF(G12=0,0,SUMPRODUCT((记录!$C$2:$C$16=$D$1)*(MONTH(记录!$A$2:$A$16)&lt;=$B$1)*(记录!$B$2:$B$16=$B12)*记录!$O$2:$O$16))</f>
        <v>#NUM!</v>
      </c>
      <c r="R12" s="27" t="e">
        <f>IF(H12=0,0,SUMPRODUCT((记录!$C$2:$C$16=$D$1)*(MONTH(记录!$A$2:$A$16)&lt;=$B$1)*(记录!$B$2:$B$16=$B12)*记录!$P$2:$P$16))</f>
        <v>#NUM!</v>
      </c>
      <c r="S12" s="27" t="e">
        <f>IF(I12=0,0,SUMPRODUCT((记录!$C$2:$C$16=$D$1)*(MONTH(记录!$A$2:$A$16)&lt;=$B$1)*(记录!$B$2:$B$16=$B12)*记录!$Q$2:$Q$16))</f>
        <v>#NUM!</v>
      </c>
      <c r="T12" s="27" t="e">
        <f>IF(J12=0,0,SUMPRODUCT((记录!$C$2:$C$16=$D$1)*(MONTH(记录!$A$2:$A$16)&lt;=$B$1)*(记录!$B$2:$B$16=$B12)*记录!$R$2:$R$16))</f>
        <v>#NUM!</v>
      </c>
      <c r="U12" s="34" t="e">
        <f>IF(K12=0,0,SUMPRODUCT((记录!$C$2:$C$16=$D$1)*(MONTH(记录!$A$2:$A$16)&lt;=$B$1)*(记录!$B$2:$B$16=$B12)*记录!$S$2:$S$16))</f>
        <v>#NUM!</v>
      </c>
      <c r="V12" s="32"/>
      <c r="W12" s="28"/>
      <c r="Y12" s="35">
        <v>11</v>
      </c>
    </row>
    <row r="13" spans="1:25" ht="18" x14ac:dyDescent="0.35">
      <c r="A13" s="61" t="e">
        <f t="array" ref="A13">INDEX(记录!A$2:A$16,SMALL(IF((MONTH(记录!$A$2:$A$16)=按业务员查询!$B$1)*(记录!$C$2:$C$16=$D$1),ROW(记录!A$2:A$16)-1),ROW(11:11)))</f>
        <v>#NUM!</v>
      </c>
      <c r="B13" s="14" t="e">
        <f t="array" ref="B13">INDEX(记录!B$2:B$16,SMALL(IF((MONTH(记录!$A$2:$A$16)=按业务员查询!$B$1)*(记录!$C$2:$C$16=$D$1),ROW(记录!B$2:B$16)-1),ROW(11:11)))</f>
        <v>#NUM!</v>
      </c>
      <c r="C13" s="14" t="e">
        <f t="array" ref="C13">INDEX(记录!D$2:D$16,SMALL(IF((MONTH(记录!$A$2:$A$16)=按业务员查询!$B$1)*(记录!$C$2:$C$16=$D$1),ROW(记录!C$2:C$16)-1),ROW(11:11)))</f>
        <v>#NUM!</v>
      </c>
      <c r="D13" s="62" t="e">
        <f t="array" ref="D13">INDEX(记录!E$2:E$16,SMALL(IF((MONTH(记录!$A$2:$A$16)=按业务员查询!$B$1)*(记录!$C$2:$C$16=$D$1),ROW(记录!E$2:E$16)-1),ROW(11:11)))</f>
        <v>#NUM!</v>
      </c>
      <c r="E13" s="63" t="e">
        <f t="array" ref="E13">INDEX(记录!F$2:F$16,SMALL(IF((MONTH(记录!$A$2:$A$16)=按业务员查询!$B$1)*(记录!$C$2:$C$16=$D$1),ROW(记录!F$2:F$16)-1),ROW(11:11)))</f>
        <v>#NUM!</v>
      </c>
      <c r="F13" s="64" t="e">
        <f>IF(A13=0,0,SUMPRODUCT((记录!$C$2:$C$16=$D$1)*(MONTH(记录!$A$2:$A$16)&lt;=$B$1)*(记录!$B$2:$B$16=$B13)*记录!$G$2:$G$16))</f>
        <v>#NUM!</v>
      </c>
      <c r="G13" s="65" t="e">
        <f t="array" ref="G13">INDEX(记录!H$2:H$16,SMALL(IF((MONTH(记录!$A$2:$A$16)=按业务员查询!$B$1)*(记录!$C$2:$C$16=$D$1),ROW(记录!H$2:H$16)-1),ROW(11:11)))</f>
        <v>#NUM!</v>
      </c>
      <c r="H13" s="16" t="e">
        <f>IF(A13=0,0,SUMPRODUCT((记录!$C$2:$C$16=$D$1)*(MONTH(记录!$A$2:$A$16)&lt;=$B$1)*(记录!$B$2:$B$16=$B13)*记录!$H$2:$H$16))</f>
        <v>#NUM!</v>
      </c>
      <c r="I13" s="62" t="e">
        <f t="array" ref="I13">INDEX(记录!I$2:I$16,SMALL(IF((MONTH(记录!$A$2:$A$16)=按业务员查询!$B$1)*(记录!$C$2:$C$16=$D$1),ROW(记录!I$2:I$16)-1),ROW(11:11)))</f>
        <v>#NUM!</v>
      </c>
      <c r="J13" s="65" t="e">
        <f t="array" ref="J13">INDEX(记录!J$2:J$16,SMALL(IF((MONTH(记录!$A$2:$A$16)=按业务员查询!$B$1)*(记录!$C$2:$C$16=$D$1),ROW(记录!J$2:J$16)-1),ROW(11:11)))</f>
        <v>#NUM!</v>
      </c>
      <c r="K13" s="16" t="e">
        <f>IF(A13=0,0,SUMPRODUCT((记录!$C$2:$C$16=$D$1)*(MONTH(记录!$A$2:$A$16)&lt;=$B$1)*(记录!$B$2:$B$16=$B13)*记录!$J$2:$J$16))</f>
        <v>#NUM!</v>
      </c>
      <c r="L13" s="65" t="e">
        <f t="array" ref="L13">INDEX(记录!K$2:K$16,SMALL(IF((MONTH(记录!$A$2:$A$16)=按业务员查询!$B$1)*(记录!$C$2:$C$16=$D$1),ROW(记录!K$2:K$16)-1),ROW(11:11)))</f>
        <v>#NUM!</v>
      </c>
      <c r="M13" s="24" t="e">
        <f t="shared" si="0"/>
        <v>#NUM!</v>
      </c>
      <c r="N13" s="67" t="e">
        <f t="array" ref="N13">INDEX(记录!L$2:L$16,SMALL(IF((MONTH(记录!$A$2:$A$16)=按业务员查询!$B$1)*(记录!$C$2:$C$16=$D$1),ROW(记录!L$2:L$16)-1),ROW(11:11)))</f>
        <v>#NUM!</v>
      </c>
      <c r="O13" s="61" t="e">
        <f t="array" ref="O13">INDEX(记录!M$2:M$16,SMALL(IF((MONTH(记录!$A$2:$A$16)=按业务员查询!$B$1)*(记录!$C$2:$C$16=$D$1),ROW(记录!M$2:M$16)-1),ROW(11:11)))</f>
        <v>#NUM!</v>
      </c>
      <c r="P13" s="63" t="e">
        <f t="array" ref="P13">INDEX(记录!N$2:N$16,SMALL(IF((MONTH(记录!$A$2:$A$16)=按业务员查询!$B$1)*(记录!$C$2:$C$16=$D$1),ROW(记录!N$2:N$16)-1),ROW(11:11)))</f>
        <v>#NUM!</v>
      </c>
      <c r="Q13" s="26" t="e">
        <f>IF(G13=0,0,SUMPRODUCT((记录!$C$2:$C$16=$D$1)*(MONTH(记录!$A$2:$A$16)&lt;=$B$1)*(记录!$B$2:$B$16=$B13)*记录!$O$2:$O$16))</f>
        <v>#NUM!</v>
      </c>
      <c r="R13" s="27" t="e">
        <f>IF(H13=0,0,SUMPRODUCT((记录!$C$2:$C$16=$D$1)*(MONTH(记录!$A$2:$A$16)&lt;=$B$1)*(记录!$B$2:$B$16=$B13)*记录!$P$2:$P$16))</f>
        <v>#NUM!</v>
      </c>
      <c r="S13" s="27" t="e">
        <f>IF(I13=0,0,SUMPRODUCT((记录!$C$2:$C$16=$D$1)*(MONTH(记录!$A$2:$A$16)&lt;=$B$1)*(记录!$B$2:$B$16=$B13)*记录!$Q$2:$Q$16))</f>
        <v>#NUM!</v>
      </c>
      <c r="T13" s="27" t="e">
        <f>IF(J13=0,0,SUMPRODUCT((记录!$C$2:$C$16=$D$1)*(MONTH(记录!$A$2:$A$16)&lt;=$B$1)*(记录!$B$2:$B$16=$B13)*记录!$R$2:$R$16))</f>
        <v>#NUM!</v>
      </c>
      <c r="U13" s="34" t="e">
        <f>IF(K13=0,0,SUMPRODUCT((记录!$C$2:$C$16=$D$1)*(MONTH(记录!$A$2:$A$16)&lt;=$B$1)*(记录!$B$2:$B$16=$B13)*记录!$S$2:$S$16))</f>
        <v>#NUM!</v>
      </c>
      <c r="V13" s="32"/>
      <c r="W13" s="28"/>
      <c r="Y13" s="35">
        <v>12</v>
      </c>
    </row>
    <row r="14" spans="1:25" ht="18" x14ac:dyDescent="0.35">
      <c r="A14" s="61" t="e">
        <f t="array" ref="A14">INDEX(记录!A$2:A$16,SMALL(IF((MONTH(记录!$A$2:$A$16)=按业务员查询!$B$1)*(记录!$C$2:$C$16=$D$1),ROW(记录!A$2:A$16)-1),ROW(12:12)))</f>
        <v>#NUM!</v>
      </c>
      <c r="B14" s="14" t="e">
        <f t="array" ref="B14">INDEX(记录!B$2:B$16,SMALL(IF((MONTH(记录!$A$2:$A$16)=按业务员查询!$B$1)*(记录!$C$2:$C$16=$D$1),ROW(记录!B$2:B$16)-1),ROW(12:12)))</f>
        <v>#NUM!</v>
      </c>
      <c r="C14" s="14" t="e">
        <f t="array" ref="C14">INDEX(记录!D$2:D$16,SMALL(IF((MONTH(记录!$A$2:$A$16)=按业务员查询!$B$1)*(记录!$C$2:$C$16=$D$1),ROW(记录!C$2:C$16)-1),ROW(12:12)))</f>
        <v>#NUM!</v>
      </c>
      <c r="D14" s="62" t="e">
        <f t="array" ref="D14">INDEX(记录!E$2:E$16,SMALL(IF((MONTH(记录!$A$2:$A$16)=按业务员查询!$B$1)*(记录!$C$2:$C$16=$D$1),ROW(记录!E$2:E$16)-1),ROW(12:12)))</f>
        <v>#NUM!</v>
      </c>
      <c r="E14" s="63" t="e">
        <f t="array" ref="E14">INDEX(记录!F$2:F$16,SMALL(IF((MONTH(记录!$A$2:$A$16)=按业务员查询!$B$1)*(记录!$C$2:$C$16=$D$1),ROW(记录!F$2:F$16)-1),ROW(12:12)))</f>
        <v>#NUM!</v>
      </c>
      <c r="F14" s="64" t="e">
        <f>IF(A14=0,0,SUMPRODUCT((记录!$C$2:$C$16=$D$1)*(MONTH(记录!$A$2:$A$16)&lt;=$B$1)*(记录!$B$2:$B$16=$B14)*记录!$G$2:$G$16))</f>
        <v>#NUM!</v>
      </c>
      <c r="G14" s="65" t="e">
        <f t="array" ref="G14">INDEX(记录!H$2:H$16,SMALL(IF((MONTH(记录!$A$2:$A$16)=按业务员查询!$B$1)*(记录!$C$2:$C$16=$D$1),ROW(记录!H$2:H$16)-1),ROW(12:12)))</f>
        <v>#NUM!</v>
      </c>
      <c r="H14" s="16" t="e">
        <f>IF(A14=0,0,SUMPRODUCT((记录!$C$2:$C$16=$D$1)*(MONTH(记录!$A$2:$A$16)&lt;=$B$1)*(记录!$B$2:$B$16=$B14)*记录!$H$2:$H$16))</f>
        <v>#NUM!</v>
      </c>
      <c r="I14" s="62" t="e">
        <f t="array" ref="I14">INDEX(记录!I$2:I$16,SMALL(IF((MONTH(记录!$A$2:$A$16)=按业务员查询!$B$1)*(记录!$C$2:$C$16=$D$1),ROW(记录!I$2:I$16)-1),ROW(12:12)))</f>
        <v>#NUM!</v>
      </c>
      <c r="J14" s="65" t="e">
        <f t="array" ref="J14">INDEX(记录!J$2:J$16,SMALL(IF((MONTH(记录!$A$2:$A$16)=按业务员查询!$B$1)*(记录!$C$2:$C$16=$D$1),ROW(记录!J$2:J$16)-1),ROW(12:12)))</f>
        <v>#NUM!</v>
      </c>
      <c r="K14" s="16" t="e">
        <f>IF(A14=0,0,SUMPRODUCT((记录!$C$2:$C$16=$D$1)*(MONTH(记录!$A$2:$A$16)&lt;=$B$1)*(记录!$B$2:$B$16=$B14)*记录!$J$2:$J$16))</f>
        <v>#NUM!</v>
      </c>
      <c r="L14" s="65" t="e">
        <f t="array" ref="L14">INDEX(记录!K$2:K$16,SMALL(IF((MONTH(记录!$A$2:$A$16)=按业务员查询!$B$1)*(记录!$C$2:$C$16=$D$1),ROW(记录!K$2:K$16)-1),ROW(12:12)))</f>
        <v>#NUM!</v>
      </c>
      <c r="M14" s="24" t="e">
        <f t="shared" si="0"/>
        <v>#NUM!</v>
      </c>
      <c r="N14" s="67" t="e">
        <f t="array" ref="N14">INDEX(记录!L$2:L$16,SMALL(IF((MONTH(记录!$A$2:$A$16)=按业务员查询!$B$1)*(记录!$C$2:$C$16=$D$1),ROW(记录!L$2:L$16)-1),ROW(12:12)))</f>
        <v>#NUM!</v>
      </c>
      <c r="O14" s="61" t="e">
        <f t="array" ref="O14">INDEX(记录!M$2:M$16,SMALL(IF((MONTH(记录!$A$2:$A$16)=按业务员查询!$B$1)*(记录!$C$2:$C$16=$D$1),ROW(记录!M$2:M$16)-1),ROW(12:12)))</f>
        <v>#NUM!</v>
      </c>
      <c r="P14" s="63" t="e">
        <f t="array" ref="P14">INDEX(记录!N$2:N$16,SMALL(IF((MONTH(记录!$A$2:$A$16)=按业务员查询!$B$1)*(记录!$C$2:$C$16=$D$1),ROW(记录!N$2:N$16)-1),ROW(12:12)))</f>
        <v>#NUM!</v>
      </c>
      <c r="Q14" s="26" t="e">
        <f>IF(G14=0,0,SUMPRODUCT((记录!$C$2:$C$16=$D$1)*(MONTH(记录!$A$2:$A$16)&lt;=$B$1)*(记录!$B$2:$B$16=$B14)*记录!$O$2:$O$16))</f>
        <v>#NUM!</v>
      </c>
      <c r="R14" s="27" t="e">
        <f>IF(H14=0,0,SUMPRODUCT((记录!$C$2:$C$16=$D$1)*(MONTH(记录!$A$2:$A$16)&lt;=$B$1)*(记录!$B$2:$B$16=$B14)*记录!$P$2:$P$16))</f>
        <v>#NUM!</v>
      </c>
      <c r="S14" s="27" t="e">
        <f>IF(I14=0,0,SUMPRODUCT((记录!$C$2:$C$16=$D$1)*(MONTH(记录!$A$2:$A$16)&lt;=$B$1)*(记录!$B$2:$B$16=$B14)*记录!$Q$2:$Q$16))</f>
        <v>#NUM!</v>
      </c>
      <c r="T14" s="27" t="e">
        <f>IF(J14=0,0,SUMPRODUCT((记录!$C$2:$C$16=$D$1)*(MONTH(记录!$A$2:$A$16)&lt;=$B$1)*(记录!$B$2:$B$16=$B14)*记录!$R$2:$R$16))</f>
        <v>#NUM!</v>
      </c>
      <c r="U14" s="34" t="e">
        <f>IF(K14=0,0,SUMPRODUCT((记录!$C$2:$C$16=$D$1)*(MONTH(记录!$A$2:$A$16)&lt;=$B$1)*(记录!$B$2:$B$16=$B14)*记录!$S$2:$S$16))</f>
        <v>#NUM!</v>
      </c>
      <c r="V14" s="32"/>
      <c r="W14" s="28"/>
      <c r="Y14" s="35">
        <v>13</v>
      </c>
    </row>
    <row r="15" spans="1:25" ht="18" x14ac:dyDescent="0.35">
      <c r="A15" s="61" t="e">
        <f t="array" ref="A15">INDEX(记录!A$2:A$16,SMALL(IF((MONTH(记录!$A$2:$A$16)=按业务员查询!$B$1)*(记录!$C$2:$C$16=$D$1),ROW(记录!A$2:A$16)-1),ROW(13:13)))</f>
        <v>#NUM!</v>
      </c>
      <c r="B15" s="14" t="e">
        <f t="array" ref="B15">INDEX(记录!B$2:B$16,SMALL(IF((MONTH(记录!$A$2:$A$16)=按业务员查询!$B$1)*(记录!$C$2:$C$16=$D$1),ROW(记录!B$2:B$16)-1),ROW(13:13)))</f>
        <v>#NUM!</v>
      </c>
      <c r="C15" s="14" t="e">
        <f t="array" ref="C15">INDEX(记录!D$2:D$16,SMALL(IF((MONTH(记录!$A$2:$A$16)=按业务员查询!$B$1)*(记录!$C$2:$C$16=$D$1),ROW(记录!C$2:C$16)-1),ROW(13:13)))</f>
        <v>#NUM!</v>
      </c>
      <c r="D15" s="62" t="e">
        <f t="array" ref="D15">INDEX(记录!E$2:E$16,SMALL(IF((MONTH(记录!$A$2:$A$16)=按业务员查询!$B$1)*(记录!$C$2:$C$16=$D$1),ROW(记录!E$2:E$16)-1),ROW(13:13)))</f>
        <v>#NUM!</v>
      </c>
      <c r="E15" s="63" t="e">
        <f t="array" ref="E15">INDEX(记录!F$2:F$16,SMALL(IF((MONTH(记录!$A$2:$A$16)=按业务员查询!$B$1)*(记录!$C$2:$C$16=$D$1),ROW(记录!F$2:F$16)-1),ROW(13:13)))</f>
        <v>#NUM!</v>
      </c>
      <c r="F15" s="64" t="e">
        <f>IF(A15=0,0,SUMPRODUCT((记录!$C$2:$C$16=$D$1)*(MONTH(记录!$A$2:$A$16)&lt;=$B$1)*(记录!$B$2:$B$16=$B15)*记录!$G$2:$G$16))</f>
        <v>#NUM!</v>
      </c>
      <c r="G15" s="65" t="e">
        <f t="array" ref="G15">INDEX(记录!H$2:H$16,SMALL(IF((MONTH(记录!$A$2:$A$16)=按业务员查询!$B$1)*(记录!$C$2:$C$16=$D$1),ROW(记录!H$2:H$16)-1),ROW(13:13)))</f>
        <v>#NUM!</v>
      </c>
      <c r="H15" s="16" t="e">
        <f>IF(A15=0,0,SUMPRODUCT((记录!$C$2:$C$16=$D$1)*(MONTH(记录!$A$2:$A$16)&lt;=$B$1)*(记录!$B$2:$B$16=$B15)*记录!$H$2:$H$16))</f>
        <v>#NUM!</v>
      </c>
      <c r="I15" s="62" t="e">
        <f t="array" ref="I15">INDEX(记录!I$2:I$16,SMALL(IF((MONTH(记录!$A$2:$A$16)=按业务员查询!$B$1)*(记录!$C$2:$C$16=$D$1),ROW(记录!I$2:I$16)-1),ROW(13:13)))</f>
        <v>#NUM!</v>
      </c>
      <c r="J15" s="65" t="e">
        <f t="array" ref="J15">INDEX(记录!J$2:J$16,SMALL(IF((MONTH(记录!$A$2:$A$16)=按业务员查询!$B$1)*(记录!$C$2:$C$16=$D$1),ROW(记录!J$2:J$16)-1),ROW(13:13)))</f>
        <v>#NUM!</v>
      </c>
      <c r="K15" s="16" t="e">
        <f>IF(A15=0,0,SUMPRODUCT((记录!$C$2:$C$16=$D$1)*(MONTH(记录!$A$2:$A$16)&lt;=$B$1)*(记录!$B$2:$B$16=$B15)*记录!$J$2:$J$16))</f>
        <v>#NUM!</v>
      </c>
      <c r="L15" s="65" t="e">
        <f t="array" ref="L15">INDEX(记录!K$2:K$16,SMALL(IF((MONTH(记录!$A$2:$A$16)=按业务员查询!$B$1)*(记录!$C$2:$C$16=$D$1),ROW(记录!K$2:K$16)-1),ROW(13:13)))</f>
        <v>#NUM!</v>
      </c>
      <c r="M15" s="24" t="e">
        <f t="shared" si="0"/>
        <v>#NUM!</v>
      </c>
      <c r="N15" s="67" t="e">
        <f t="array" ref="N15">INDEX(记录!L$2:L$16,SMALL(IF((MONTH(记录!$A$2:$A$16)=按业务员查询!$B$1)*(记录!$C$2:$C$16=$D$1),ROW(记录!L$2:L$16)-1),ROW(13:13)))</f>
        <v>#NUM!</v>
      </c>
      <c r="O15" s="61" t="e">
        <f t="array" ref="O15">INDEX(记录!M$2:M$16,SMALL(IF((MONTH(记录!$A$2:$A$16)=按业务员查询!$B$1)*(记录!$C$2:$C$16=$D$1),ROW(记录!M$2:M$16)-1),ROW(13:13)))</f>
        <v>#NUM!</v>
      </c>
      <c r="P15" s="63" t="e">
        <f t="array" ref="P15">INDEX(记录!N$2:N$16,SMALL(IF((MONTH(记录!$A$2:$A$16)=按业务员查询!$B$1)*(记录!$C$2:$C$16=$D$1),ROW(记录!N$2:N$16)-1),ROW(13:13)))</f>
        <v>#NUM!</v>
      </c>
      <c r="Q15" s="26" t="e">
        <f>IF(G15=0,0,SUMPRODUCT((记录!$C$2:$C$16=$D$1)*(MONTH(记录!$A$2:$A$16)&lt;=$B$1)*(记录!$B$2:$B$16=$B15)*记录!$O$2:$O$16))</f>
        <v>#NUM!</v>
      </c>
      <c r="R15" s="27" t="e">
        <f>IF(H15=0,0,SUMPRODUCT((记录!$C$2:$C$16=$D$1)*(MONTH(记录!$A$2:$A$16)&lt;=$B$1)*(记录!$B$2:$B$16=$B15)*记录!$P$2:$P$16))</f>
        <v>#NUM!</v>
      </c>
      <c r="S15" s="27" t="e">
        <f>IF(I15=0,0,SUMPRODUCT((记录!$C$2:$C$16=$D$1)*(MONTH(记录!$A$2:$A$16)&lt;=$B$1)*(记录!$B$2:$B$16=$B15)*记录!$Q$2:$Q$16))</f>
        <v>#NUM!</v>
      </c>
      <c r="T15" s="27" t="e">
        <f>IF(J15=0,0,SUMPRODUCT((记录!$C$2:$C$16=$D$1)*(MONTH(记录!$A$2:$A$16)&lt;=$B$1)*(记录!$B$2:$B$16=$B15)*记录!$R$2:$R$16))</f>
        <v>#NUM!</v>
      </c>
      <c r="U15" s="34" t="e">
        <f>IF(K15=0,0,SUMPRODUCT((记录!$C$2:$C$16=$D$1)*(MONTH(记录!$A$2:$A$16)&lt;=$B$1)*(记录!$B$2:$B$16=$B15)*记录!$S$2:$S$16))</f>
        <v>#NUM!</v>
      </c>
      <c r="V15" s="32"/>
      <c r="W15" s="28"/>
      <c r="Y15" s="75">
        <v>14</v>
      </c>
    </row>
    <row r="16" spans="1:25" ht="18" x14ac:dyDescent="0.35">
      <c r="A16" s="61" t="e">
        <f t="array" ref="A16">INDEX(记录!A$2:A$16,SMALL(IF((MONTH(记录!$A$2:$A$16)=按业务员查询!$B$1)*(记录!$C$2:$C$16=$D$1),ROW(记录!A$2:A$16)-1),ROW(14:14)))</f>
        <v>#NUM!</v>
      </c>
      <c r="B16" s="14" t="e">
        <f t="array" ref="B16">INDEX(记录!B$2:B$16,SMALL(IF((MONTH(记录!$A$2:$A$16)=按业务员查询!$B$1)*(记录!$C$2:$C$16=$D$1),ROW(记录!B$2:B$16)-1),ROW(14:14)))</f>
        <v>#NUM!</v>
      </c>
      <c r="C16" s="14" t="e">
        <f t="array" ref="C16">INDEX(记录!D$2:D$16,SMALL(IF((MONTH(记录!$A$2:$A$16)=按业务员查询!$B$1)*(记录!$C$2:$C$16=$D$1),ROW(记录!C$2:C$16)-1),ROW(14:14)))</f>
        <v>#NUM!</v>
      </c>
      <c r="D16" s="62" t="e">
        <f t="array" ref="D16">INDEX(记录!E$2:E$16,SMALL(IF((MONTH(记录!$A$2:$A$16)=按业务员查询!$B$1)*(记录!$C$2:$C$16=$D$1),ROW(记录!E$2:E$16)-1),ROW(14:14)))</f>
        <v>#NUM!</v>
      </c>
      <c r="E16" s="63" t="e">
        <f t="array" ref="E16">INDEX(记录!F$2:F$16,SMALL(IF((MONTH(记录!$A$2:$A$16)=按业务员查询!$B$1)*(记录!$C$2:$C$16=$D$1),ROW(记录!F$2:F$16)-1),ROW(14:14)))</f>
        <v>#NUM!</v>
      </c>
      <c r="F16" s="64" t="e">
        <f>IF(A16=0,0,SUMPRODUCT((记录!$C$2:$C$16=$D$1)*(MONTH(记录!$A$2:$A$16)&lt;=$B$1)*(记录!$B$2:$B$16=$B16)*记录!$G$2:$G$16))</f>
        <v>#NUM!</v>
      </c>
      <c r="G16" s="65" t="e">
        <f t="array" ref="G16">INDEX(记录!H$2:H$16,SMALL(IF((MONTH(记录!$A$2:$A$16)=按业务员查询!$B$1)*(记录!$C$2:$C$16=$D$1),ROW(记录!H$2:H$16)-1),ROW(14:14)))</f>
        <v>#NUM!</v>
      </c>
      <c r="H16" s="16" t="e">
        <f>IF(A16=0,0,SUMPRODUCT((记录!$C$2:$C$16=$D$1)*(MONTH(记录!$A$2:$A$16)&lt;=$B$1)*(记录!$B$2:$B$16=$B16)*记录!$H$2:$H$16))</f>
        <v>#NUM!</v>
      </c>
      <c r="I16" s="62" t="e">
        <f t="array" ref="I16">INDEX(记录!I$2:I$16,SMALL(IF((MONTH(记录!$A$2:$A$16)=按业务员查询!$B$1)*(记录!$C$2:$C$16=$D$1),ROW(记录!I$2:I$16)-1),ROW(14:14)))</f>
        <v>#NUM!</v>
      </c>
      <c r="J16" s="65" t="e">
        <f t="array" ref="J16">INDEX(记录!J$2:J$16,SMALL(IF((MONTH(记录!$A$2:$A$16)=按业务员查询!$B$1)*(记录!$C$2:$C$16=$D$1),ROW(记录!J$2:J$16)-1),ROW(14:14)))</f>
        <v>#NUM!</v>
      </c>
      <c r="K16" s="16" t="e">
        <f>IF(A16=0,0,SUMPRODUCT((记录!$C$2:$C$16=$D$1)*(MONTH(记录!$A$2:$A$16)&lt;=$B$1)*(记录!$B$2:$B$16=$B16)*记录!$J$2:$J$16))</f>
        <v>#NUM!</v>
      </c>
      <c r="L16" s="65" t="e">
        <f t="array" ref="L16">INDEX(记录!K$2:K$16,SMALL(IF((MONTH(记录!$A$2:$A$16)=按业务员查询!$B$1)*(记录!$C$2:$C$16=$D$1),ROW(记录!K$2:K$16)-1),ROW(14:14)))</f>
        <v>#NUM!</v>
      </c>
      <c r="M16" s="24" t="e">
        <f t="shared" si="0"/>
        <v>#NUM!</v>
      </c>
      <c r="N16" s="67" t="e">
        <f t="array" ref="N16">INDEX(记录!L$2:L$16,SMALL(IF((MONTH(记录!$A$2:$A$16)=按业务员查询!$B$1)*(记录!$C$2:$C$16=$D$1),ROW(记录!L$2:L$16)-1),ROW(14:14)))</f>
        <v>#NUM!</v>
      </c>
      <c r="O16" s="61" t="e">
        <f t="array" ref="O16">INDEX(记录!M$2:M$16,SMALL(IF((MONTH(记录!$A$2:$A$16)=按业务员查询!$B$1)*(记录!$C$2:$C$16=$D$1),ROW(记录!M$2:M$16)-1),ROW(14:14)))</f>
        <v>#NUM!</v>
      </c>
      <c r="P16" s="63" t="e">
        <f t="array" ref="P16">INDEX(记录!N$2:N$16,SMALL(IF((MONTH(记录!$A$2:$A$16)=按业务员查询!$B$1)*(记录!$C$2:$C$16=$D$1),ROW(记录!N$2:N$16)-1),ROW(14:14)))</f>
        <v>#NUM!</v>
      </c>
      <c r="Q16" s="26" t="e">
        <f>IF(G16=0,0,SUMPRODUCT((记录!$C$2:$C$16=$D$1)*(MONTH(记录!$A$2:$A$16)&lt;=$B$1)*(记录!$B$2:$B$16=$B16)*记录!$O$2:$O$16))</f>
        <v>#NUM!</v>
      </c>
      <c r="R16" s="27" t="e">
        <f>IF(H16=0,0,SUMPRODUCT((记录!$C$2:$C$16=$D$1)*(MONTH(记录!$A$2:$A$16)&lt;=$B$1)*(记录!$B$2:$B$16=$B16)*记录!$P$2:$P$16))</f>
        <v>#NUM!</v>
      </c>
      <c r="S16" s="27" t="e">
        <f>IF(I16=0,0,SUMPRODUCT((记录!$C$2:$C$16=$D$1)*(MONTH(记录!$A$2:$A$16)&lt;=$B$1)*(记录!$B$2:$B$16=$B16)*记录!$Q$2:$Q$16))</f>
        <v>#NUM!</v>
      </c>
      <c r="T16" s="27" t="e">
        <f>IF(J16=0,0,SUMPRODUCT((记录!$C$2:$C$16=$D$1)*(MONTH(记录!$A$2:$A$16)&lt;=$B$1)*(记录!$B$2:$B$16=$B16)*记录!$R$2:$R$16))</f>
        <v>#NUM!</v>
      </c>
      <c r="U16" s="34" t="e">
        <f>IF(K16=0,0,SUMPRODUCT((记录!$C$2:$C$16=$D$1)*(MONTH(记录!$A$2:$A$16)&lt;=$B$1)*(记录!$B$2:$B$16=$B16)*记录!$S$2:$S$16))</f>
        <v>#NUM!</v>
      </c>
      <c r="V16" s="32"/>
      <c r="W16" s="28"/>
    </row>
    <row r="17" spans="1:23" ht="18" x14ac:dyDescent="0.35">
      <c r="A17" s="61" t="e">
        <f t="array" ref="A17">INDEX(记录!A$2:A$16,SMALL(IF((MONTH(记录!$A$2:$A$16)=按业务员查询!$B$1)*(记录!$C$2:$C$16=$D$1),ROW(记录!A$2:A$16)-1),ROW(15:15)))</f>
        <v>#NUM!</v>
      </c>
      <c r="B17" s="14" t="e">
        <f t="array" ref="B17">INDEX(记录!B$2:B$16,SMALL(IF((MONTH(记录!$A$2:$A$16)=按业务员查询!$B$1)*(记录!$C$2:$C$16=$D$1),ROW(记录!B$2:B$16)-1),ROW(15:15)))</f>
        <v>#NUM!</v>
      </c>
      <c r="C17" s="14" t="e">
        <f t="array" ref="C17">INDEX(记录!D$2:D$16,SMALL(IF((MONTH(记录!$A$2:$A$16)=按业务员查询!$B$1)*(记录!$C$2:$C$16=$D$1),ROW(记录!C$2:C$16)-1),ROW(15:15)))</f>
        <v>#NUM!</v>
      </c>
      <c r="D17" s="62" t="e">
        <f t="array" ref="D17">INDEX(记录!E$2:E$16,SMALL(IF((MONTH(记录!$A$2:$A$16)=按业务员查询!$B$1)*(记录!$C$2:$C$16=$D$1),ROW(记录!E$2:E$16)-1),ROW(15:15)))</f>
        <v>#NUM!</v>
      </c>
      <c r="E17" s="63" t="e">
        <f t="array" ref="E17">INDEX(记录!F$2:F$16,SMALL(IF((MONTH(记录!$A$2:$A$16)=按业务员查询!$B$1)*(记录!$C$2:$C$16=$D$1),ROW(记录!F$2:F$16)-1),ROW(15:15)))</f>
        <v>#NUM!</v>
      </c>
      <c r="F17" s="64" t="e">
        <f>IF(A17=0,0,SUMPRODUCT((记录!$C$2:$C$16=$D$1)*(MONTH(记录!$A$2:$A$16)&lt;=$B$1)*(记录!$B$2:$B$16=$B17)*记录!$G$2:$G$16))</f>
        <v>#NUM!</v>
      </c>
      <c r="G17" s="65" t="e">
        <f t="array" ref="G17">INDEX(记录!H$2:H$16,SMALL(IF((MONTH(记录!$A$2:$A$16)=按业务员查询!$B$1)*(记录!$C$2:$C$16=$D$1),ROW(记录!H$2:H$16)-1),ROW(15:15)))</f>
        <v>#NUM!</v>
      </c>
      <c r="H17" s="16" t="e">
        <f>IF(A17=0,0,SUMPRODUCT((记录!$C$2:$C$16=$D$1)*(MONTH(记录!$A$2:$A$16)&lt;=$B$1)*(记录!$B$2:$B$16=$B17)*记录!$H$2:$H$16))</f>
        <v>#NUM!</v>
      </c>
      <c r="I17" s="62" t="e">
        <f t="array" ref="I17">INDEX(记录!I$2:I$16,SMALL(IF((MONTH(记录!$A$2:$A$16)=按业务员查询!$B$1)*(记录!$C$2:$C$16=$D$1),ROW(记录!I$2:I$16)-1),ROW(15:15)))</f>
        <v>#NUM!</v>
      </c>
      <c r="J17" s="65" t="e">
        <f t="array" ref="J17">INDEX(记录!J$2:J$16,SMALL(IF((MONTH(记录!$A$2:$A$16)=按业务员查询!$B$1)*(记录!$C$2:$C$16=$D$1),ROW(记录!J$2:J$16)-1),ROW(15:15)))</f>
        <v>#NUM!</v>
      </c>
      <c r="K17" s="16" t="e">
        <f>IF(A17=0,0,SUMPRODUCT((记录!$C$2:$C$16=$D$1)*(MONTH(记录!$A$2:$A$16)&lt;=$B$1)*(记录!$B$2:$B$16=$B17)*记录!$J$2:$J$16))</f>
        <v>#NUM!</v>
      </c>
      <c r="L17" s="65" t="e">
        <f t="array" ref="L17">INDEX(记录!K$2:K$16,SMALL(IF((MONTH(记录!$A$2:$A$16)=按业务员查询!$B$1)*(记录!$C$2:$C$16=$D$1),ROW(记录!K$2:K$16)-1),ROW(15:15)))</f>
        <v>#NUM!</v>
      </c>
      <c r="M17" s="24" t="e">
        <f t="shared" si="0"/>
        <v>#NUM!</v>
      </c>
      <c r="N17" s="67" t="e">
        <f t="array" ref="N17">INDEX(记录!L$2:L$16,SMALL(IF((MONTH(记录!$A$2:$A$16)=按业务员查询!$B$1)*(记录!$C$2:$C$16=$D$1),ROW(记录!L$2:L$16)-1),ROW(15:15)))</f>
        <v>#NUM!</v>
      </c>
      <c r="O17" s="61" t="e">
        <f t="array" ref="O17">INDEX(记录!M$2:M$16,SMALL(IF((MONTH(记录!$A$2:$A$16)=按业务员查询!$B$1)*(记录!$C$2:$C$16=$D$1),ROW(记录!M$2:M$16)-1),ROW(15:15)))</f>
        <v>#NUM!</v>
      </c>
      <c r="P17" s="63" t="e">
        <f t="array" ref="P17">INDEX(记录!N$2:N$16,SMALL(IF((MONTH(记录!$A$2:$A$16)=按业务员查询!$B$1)*(记录!$C$2:$C$16=$D$1),ROW(记录!N$2:N$16)-1),ROW(15:15)))</f>
        <v>#NUM!</v>
      </c>
      <c r="Q17" s="26" t="e">
        <f>IF(G17=0,0,SUMPRODUCT((记录!$C$2:$C$16=$D$1)*(MONTH(记录!$A$2:$A$16)&lt;=$B$1)*(记录!$B$2:$B$16=$B17)*记录!$O$2:$O$16))</f>
        <v>#NUM!</v>
      </c>
      <c r="R17" s="27" t="e">
        <f>IF(H17=0,0,SUMPRODUCT((记录!$C$2:$C$16=$D$1)*(MONTH(记录!$A$2:$A$16)&lt;=$B$1)*(记录!$B$2:$B$16=$B17)*记录!$P$2:$P$16))</f>
        <v>#NUM!</v>
      </c>
      <c r="S17" s="27" t="e">
        <f>IF(I17=0,0,SUMPRODUCT((记录!$C$2:$C$16=$D$1)*(MONTH(记录!$A$2:$A$16)&lt;=$B$1)*(记录!$B$2:$B$16=$B17)*记录!$Q$2:$Q$16))</f>
        <v>#NUM!</v>
      </c>
      <c r="T17" s="27" t="e">
        <f>IF(J17=0,0,SUMPRODUCT((记录!$C$2:$C$16=$D$1)*(MONTH(记录!$A$2:$A$16)&lt;=$B$1)*(记录!$B$2:$B$16=$B17)*记录!$R$2:$R$16))</f>
        <v>#NUM!</v>
      </c>
      <c r="U17" s="34" t="e">
        <f>IF(K17=0,0,SUMPRODUCT((记录!$C$2:$C$16=$D$1)*(MONTH(记录!$A$2:$A$16)&lt;=$B$1)*(记录!$B$2:$B$16=$B17)*记录!$S$2:$S$16))</f>
        <v>#NUM!</v>
      </c>
      <c r="V17" s="32"/>
      <c r="W17" s="28"/>
    </row>
    <row r="18" spans="1:23" ht="18" x14ac:dyDescent="0.35">
      <c r="A18" s="61" t="e">
        <f t="array" ref="A18">INDEX(记录!A$2:A$16,SMALL(IF((MONTH(记录!$A$2:$A$16)=按业务员查询!$B$1)*(记录!$C$2:$C$16=$D$1),ROW(记录!A$2:A$16)-1),ROW(16:16)))</f>
        <v>#NUM!</v>
      </c>
      <c r="B18" s="14" t="e">
        <f t="array" ref="B18">INDEX(记录!B$2:B$16,SMALL(IF((MONTH(记录!$A$2:$A$16)=按业务员查询!$B$1)*(记录!$C$2:$C$16=$D$1),ROW(记录!B$2:B$16)-1),ROW(16:16)))</f>
        <v>#NUM!</v>
      </c>
      <c r="C18" s="14" t="e">
        <f t="array" ref="C18">INDEX(记录!D$2:D$16,SMALL(IF((MONTH(记录!$A$2:$A$16)=按业务员查询!$B$1)*(记录!$C$2:$C$16=$D$1),ROW(记录!C$2:C$16)-1),ROW(16:16)))</f>
        <v>#NUM!</v>
      </c>
      <c r="D18" s="62" t="e">
        <f t="array" ref="D18">INDEX(记录!E$2:E$16,SMALL(IF((MONTH(记录!$A$2:$A$16)=按业务员查询!$B$1)*(记录!$C$2:$C$16=$D$1),ROW(记录!E$2:E$16)-1),ROW(16:16)))</f>
        <v>#NUM!</v>
      </c>
      <c r="E18" s="63" t="e">
        <f t="array" ref="E18">INDEX(记录!F$2:F$16,SMALL(IF((MONTH(记录!$A$2:$A$16)=按业务员查询!$B$1)*(记录!$C$2:$C$16=$D$1),ROW(记录!F$2:F$16)-1),ROW(16:16)))</f>
        <v>#NUM!</v>
      </c>
      <c r="F18" s="64" t="e">
        <f>IF(A18=0,0,SUMPRODUCT((记录!$C$2:$C$16=$D$1)*(MONTH(记录!$A$2:$A$16)&lt;=$B$1)*(记录!$B$2:$B$16=$B18)*记录!$G$2:$G$16))</f>
        <v>#NUM!</v>
      </c>
      <c r="G18" s="65" t="e">
        <f t="array" ref="G18">INDEX(记录!H$2:H$16,SMALL(IF((MONTH(记录!$A$2:$A$16)=按业务员查询!$B$1)*(记录!$C$2:$C$16=$D$1),ROW(记录!H$2:H$16)-1),ROW(16:16)))</f>
        <v>#NUM!</v>
      </c>
      <c r="H18" s="16" t="e">
        <f>IF(A18=0,0,SUMPRODUCT((记录!$C$2:$C$16=$D$1)*(MONTH(记录!$A$2:$A$16)&lt;=$B$1)*(记录!$B$2:$B$16=$B18)*记录!$H$2:$H$16))</f>
        <v>#NUM!</v>
      </c>
      <c r="I18" s="62" t="e">
        <f t="array" ref="I18">INDEX(记录!I$2:I$16,SMALL(IF((MONTH(记录!$A$2:$A$16)=按业务员查询!$B$1)*(记录!$C$2:$C$16=$D$1),ROW(记录!I$2:I$16)-1),ROW(16:16)))</f>
        <v>#NUM!</v>
      </c>
      <c r="J18" s="65" t="e">
        <f t="array" ref="J18">INDEX(记录!J$2:J$16,SMALL(IF((MONTH(记录!$A$2:$A$16)=按业务员查询!$B$1)*(记录!$C$2:$C$16=$D$1),ROW(记录!J$2:J$16)-1),ROW(16:16)))</f>
        <v>#NUM!</v>
      </c>
      <c r="K18" s="16" t="e">
        <f>IF(A18=0,0,SUMPRODUCT((记录!$C$2:$C$16=$D$1)*(MONTH(记录!$A$2:$A$16)&lt;=$B$1)*(记录!$B$2:$B$16=$B18)*记录!$J$2:$J$16))</f>
        <v>#NUM!</v>
      </c>
      <c r="L18" s="65" t="e">
        <f t="array" ref="L18">INDEX(记录!K$2:K$16,SMALL(IF((MONTH(记录!$A$2:$A$16)=按业务员查询!$B$1)*(记录!$C$2:$C$16=$D$1),ROW(记录!K$2:K$16)-1),ROW(16:16)))</f>
        <v>#NUM!</v>
      </c>
      <c r="M18" s="24" t="e">
        <f t="shared" si="0"/>
        <v>#NUM!</v>
      </c>
      <c r="N18" s="67" t="e">
        <f t="array" ref="N18">INDEX(记录!L$2:L$16,SMALL(IF((MONTH(记录!$A$2:$A$16)=按业务员查询!$B$1)*(记录!$C$2:$C$16=$D$1),ROW(记录!L$2:L$16)-1),ROW(16:16)))</f>
        <v>#NUM!</v>
      </c>
      <c r="O18" s="61" t="e">
        <f t="array" ref="O18">INDEX(记录!M$2:M$16,SMALL(IF((MONTH(记录!$A$2:$A$16)=按业务员查询!$B$1)*(记录!$C$2:$C$16=$D$1),ROW(记录!M$2:M$16)-1),ROW(16:16)))</f>
        <v>#NUM!</v>
      </c>
      <c r="P18" s="63" t="e">
        <f t="array" ref="P18">INDEX(记录!N$2:N$16,SMALL(IF((MONTH(记录!$A$2:$A$16)=按业务员查询!$B$1)*(记录!$C$2:$C$16=$D$1),ROW(记录!N$2:N$16)-1),ROW(16:16)))</f>
        <v>#NUM!</v>
      </c>
      <c r="Q18" s="26" t="e">
        <f>IF(G18=0,0,SUMPRODUCT((记录!$C$2:$C$16=$D$1)*(MONTH(记录!$A$2:$A$16)&lt;=$B$1)*(记录!$B$2:$B$16=$B18)*记录!$O$2:$O$16))</f>
        <v>#NUM!</v>
      </c>
      <c r="R18" s="27" t="e">
        <f>IF(H18=0,0,SUMPRODUCT((记录!$C$2:$C$16=$D$1)*(MONTH(记录!$A$2:$A$16)&lt;=$B$1)*(记录!$B$2:$B$16=$B18)*记录!$P$2:$P$16))</f>
        <v>#NUM!</v>
      </c>
      <c r="S18" s="27" t="e">
        <f>IF(I18=0,0,SUMPRODUCT((记录!$C$2:$C$16=$D$1)*(MONTH(记录!$A$2:$A$16)&lt;=$B$1)*(记录!$B$2:$B$16=$B18)*记录!$Q$2:$Q$16))</f>
        <v>#NUM!</v>
      </c>
      <c r="T18" s="27" t="e">
        <f>IF(J18=0,0,SUMPRODUCT((记录!$C$2:$C$16=$D$1)*(MONTH(记录!$A$2:$A$16)&lt;=$B$1)*(记录!$B$2:$B$16=$B18)*记录!$R$2:$R$16))</f>
        <v>#NUM!</v>
      </c>
      <c r="U18" s="34" t="e">
        <f>IF(K18=0,0,SUMPRODUCT((记录!$C$2:$C$16=$D$1)*(MONTH(记录!$A$2:$A$16)&lt;=$B$1)*(记录!$B$2:$B$16=$B18)*记录!$S$2:$S$16))</f>
        <v>#NUM!</v>
      </c>
      <c r="V18" s="32"/>
      <c r="W18" s="28"/>
    </row>
    <row r="19" spans="1:23" ht="18" x14ac:dyDescent="0.35">
      <c r="A19" s="61" t="e">
        <f t="array" ref="A19">INDEX(记录!A$2:A$16,SMALL(IF((MONTH(记录!$A$2:$A$16)=按业务员查询!$B$1)*(记录!$C$2:$C$16=$D$1),ROW(记录!A$2:A$16)-1),ROW(17:17)))</f>
        <v>#NUM!</v>
      </c>
      <c r="B19" s="14" t="e">
        <f t="array" ref="B19">INDEX(记录!B$2:B$16,SMALL(IF((MONTH(记录!$A$2:$A$16)=按业务员查询!$B$1)*(记录!$C$2:$C$16=$D$1),ROW(记录!B$2:B$16)-1),ROW(17:17)))</f>
        <v>#NUM!</v>
      </c>
      <c r="C19" s="14" t="e">
        <f t="array" ref="C19">INDEX(记录!D$2:D$16,SMALL(IF((MONTH(记录!$A$2:$A$16)=按业务员查询!$B$1)*(记录!$C$2:$C$16=$D$1),ROW(记录!C$2:C$16)-1),ROW(17:17)))</f>
        <v>#NUM!</v>
      </c>
      <c r="D19" s="62" t="e">
        <f t="array" ref="D19">INDEX(记录!E$2:E$16,SMALL(IF((MONTH(记录!$A$2:$A$16)=按业务员查询!$B$1)*(记录!$C$2:$C$16=$D$1),ROW(记录!E$2:E$16)-1),ROW(17:17)))</f>
        <v>#NUM!</v>
      </c>
      <c r="E19" s="63" t="e">
        <f t="array" ref="E19">INDEX(记录!F$2:F$16,SMALL(IF((MONTH(记录!$A$2:$A$16)=按业务员查询!$B$1)*(记录!$C$2:$C$16=$D$1),ROW(记录!F$2:F$16)-1),ROW(17:17)))</f>
        <v>#NUM!</v>
      </c>
      <c r="F19" s="64" t="e">
        <f>IF(A19=0,0,SUMPRODUCT((记录!$C$2:$C$16=$D$1)*(MONTH(记录!$A$2:$A$16)&lt;=$B$1)*(记录!$B$2:$B$16=$B19)*记录!$G$2:$G$16))</f>
        <v>#NUM!</v>
      </c>
      <c r="G19" s="65" t="e">
        <f t="array" ref="G19">INDEX(记录!H$2:H$16,SMALL(IF((MONTH(记录!$A$2:$A$16)=按业务员查询!$B$1)*(记录!$C$2:$C$16=$D$1),ROW(记录!H$2:H$16)-1),ROW(17:17)))</f>
        <v>#NUM!</v>
      </c>
      <c r="H19" s="16" t="e">
        <f>IF(A19=0,0,SUMPRODUCT((记录!$C$2:$C$16=$D$1)*(MONTH(记录!$A$2:$A$16)&lt;=$B$1)*(记录!$B$2:$B$16=$B19)*记录!$H$2:$H$16))</f>
        <v>#NUM!</v>
      </c>
      <c r="I19" s="62" t="e">
        <f t="array" ref="I19">INDEX(记录!I$2:I$16,SMALL(IF((MONTH(记录!$A$2:$A$16)=按业务员查询!$B$1)*(记录!$C$2:$C$16=$D$1),ROW(记录!I$2:I$16)-1),ROW(17:17)))</f>
        <v>#NUM!</v>
      </c>
      <c r="J19" s="65" t="e">
        <f t="array" ref="J19">INDEX(记录!J$2:J$16,SMALL(IF((MONTH(记录!$A$2:$A$16)=按业务员查询!$B$1)*(记录!$C$2:$C$16=$D$1),ROW(记录!J$2:J$16)-1),ROW(17:17)))</f>
        <v>#NUM!</v>
      </c>
      <c r="K19" s="16" t="e">
        <f>IF(A19=0,0,SUMPRODUCT((记录!$C$2:$C$16=$D$1)*(MONTH(记录!$A$2:$A$16)&lt;=$B$1)*(记录!$B$2:$B$16=$B19)*记录!$J$2:$J$16))</f>
        <v>#NUM!</v>
      </c>
      <c r="L19" s="65" t="e">
        <f t="array" ref="L19">INDEX(记录!K$2:K$16,SMALL(IF((MONTH(记录!$A$2:$A$16)=按业务员查询!$B$1)*(记录!$C$2:$C$16=$D$1),ROW(记录!K$2:K$16)-1),ROW(17:17)))</f>
        <v>#NUM!</v>
      </c>
      <c r="M19" s="24" t="e">
        <f t="shared" si="0"/>
        <v>#NUM!</v>
      </c>
      <c r="N19" s="67" t="e">
        <f t="array" ref="N19">INDEX(记录!L$2:L$16,SMALL(IF((MONTH(记录!$A$2:$A$16)=按业务员查询!$B$1)*(记录!$C$2:$C$16=$D$1),ROW(记录!L$2:L$16)-1),ROW(17:17)))</f>
        <v>#NUM!</v>
      </c>
      <c r="O19" s="61" t="e">
        <f t="array" ref="O19">INDEX(记录!M$2:M$16,SMALL(IF((MONTH(记录!$A$2:$A$16)=按业务员查询!$B$1)*(记录!$C$2:$C$16=$D$1),ROW(记录!M$2:M$16)-1),ROW(17:17)))</f>
        <v>#NUM!</v>
      </c>
      <c r="P19" s="63" t="e">
        <f t="array" ref="P19">INDEX(记录!N$2:N$16,SMALL(IF((MONTH(记录!$A$2:$A$16)=按业务员查询!$B$1)*(记录!$C$2:$C$16=$D$1),ROW(记录!N$2:N$16)-1),ROW(17:17)))</f>
        <v>#NUM!</v>
      </c>
      <c r="Q19" s="26" t="e">
        <f>IF(G19=0,0,SUMPRODUCT((记录!$C$2:$C$16=$D$1)*(MONTH(记录!$A$2:$A$16)&lt;=$B$1)*(记录!$B$2:$B$16=$B19)*记录!$O$2:$O$16))</f>
        <v>#NUM!</v>
      </c>
      <c r="R19" s="27" t="e">
        <f>IF(H19=0,0,SUMPRODUCT((记录!$C$2:$C$16=$D$1)*(MONTH(记录!$A$2:$A$16)&lt;=$B$1)*(记录!$B$2:$B$16=$B19)*记录!$P$2:$P$16))</f>
        <v>#NUM!</v>
      </c>
      <c r="S19" s="27" t="e">
        <f>IF(I19=0,0,SUMPRODUCT((记录!$C$2:$C$16=$D$1)*(MONTH(记录!$A$2:$A$16)&lt;=$B$1)*(记录!$B$2:$B$16=$B19)*记录!$Q$2:$Q$16))</f>
        <v>#NUM!</v>
      </c>
      <c r="T19" s="27" t="e">
        <f>IF(J19=0,0,SUMPRODUCT((记录!$C$2:$C$16=$D$1)*(MONTH(记录!$A$2:$A$16)&lt;=$B$1)*(记录!$B$2:$B$16=$B19)*记录!$R$2:$R$16))</f>
        <v>#NUM!</v>
      </c>
      <c r="U19" s="34" t="e">
        <f>IF(K19=0,0,SUMPRODUCT((记录!$C$2:$C$16=$D$1)*(MONTH(记录!$A$2:$A$16)&lt;=$B$1)*(记录!$B$2:$B$16=$B19)*记录!$S$2:$S$16))</f>
        <v>#NUM!</v>
      </c>
      <c r="V19" s="32"/>
      <c r="W19" s="28"/>
    </row>
    <row r="20" spans="1:23" ht="18" x14ac:dyDescent="0.35">
      <c r="A20" s="61" t="e">
        <f t="array" ref="A20">INDEX(记录!A$2:A$16,SMALL(IF((MONTH(记录!$A$2:$A$16)=按业务员查询!$B$1)*(记录!$C$2:$C$16=$D$1),ROW(记录!A$2:A$16)-1),ROW(18:18)))</f>
        <v>#NUM!</v>
      </c>
      <c r="B20" s="14" t="e">
        <f t="array" ref="B20">INDEX(记录!B$2:B$16,SMALL(IF((MONTH(记录!$A$2:$A$16)=按业务员查询!$B$1)*(记录!$C$2:$C$16=$D$1),ROW(记录!B$2:B$16)-1),ROW(18:18)))</f>
        <v>#NUM!</v>
      </c>
      <c r="C20" s="14" t="e">
        <f t="array" ref="C20">INDEX(记录!D$2:D$16,SMALL(IF((MONTH(记录!$A$2:$A$16)=按业务员查询!$B$1)*(记录!$C$2:$C$16=$D$1),ROW(记录!C$2:C$16)-1),ROW(18:18)))</f>
        <v>#NUM!</v>
      </c>
      <c r="D20" s="62" t="e">
        <f t="array" ref="D20">INDEX(记录!E$2:E$16,SMALL(IF((MONTH(记录!$A$2:$A$16)=按业务员查询!$B$1)*(记录!$C$2:$C$16=$D$1),ROW(记录!E$2:E$16)-1),ROW(18:18)))</f>
        <v>#NUM!</v>
      </c>
      <c r="E20" s="63" t="e">
        <f t="array" ref="E20">INDEX(记录!F$2:F$16,SMALL(IF((MONTH(记录!$A$2:$A$16)=按业务员查询!$B$1)*(记录!$C$2:$C$16=$D$1),ROW(记录!F$2:F$16)-1),ROW(18:18)))</f>
        <v>#NUM!</v>
      </c>
      <c r="F20" s="64" t="e">
        <f>IF(A20=0,0,SUMPRODUCT((记录!$C$2:$C$16=$D$1)*(MONTH(记录!$A$2:$A$16)&lt;=$B$1)*(记录!$B$2:$B$16=$B20)*记录!$G$2:$G$16))</f>
        <v>#NUM!</v>
      </c>
      <c r="G20" s="65" t="e">
        <f t="array" ref="G20">INDEX(记录!H$2:H$16,SMALL(IF((MONTH(记录!$A$2:$A$16)=按业务员查询!$B$1)*(记录!$C$2:$C$16=$D$1),ROW(记录!H$2:H$16)-1),ROW(18:18)))</f>
        <v>#NUM!</v>
      </c>
      <c r="H20" s="16" t="e">
        <f>IF(A20=0,0,SUMPRODUCT((记录!$C$2:$C$16=$D$1)*(MONTH(记录!$A$2:$A$16)&lt;=$B$1)*(记录!$B$2:$B$16=$B20)*记录!$H$2:$H$16))</f>
        <v>#NUM!</v>
      </c>
      <c r="I20" s="62" t="e">
        <f t="array" ref="I20">INDEX(记录!I$2:I$16,SMALL(IF((MONTH(记录!$A$2:$A$16)=按业务员查询!$B$1)*(记录!$C$2:$C$16=$D$1),ROW(记录!I$2:I$16)-1),ROW(18:18)))</f>
        <v>#NUM!</v>
      </c>
      <c r="J20" s="65" t="e">
        <f t="array" ref="J20">INDEX(记录!J$2:J$16,SMALL(IF((MONTH(记录!$A$2:$A$16)=按业务员查询!$B$1)*(记录!$C$2:$C$16=$D$1),ROW(记录!J$2:J$16)-1),ROW(18:18)))</f>
        <v>#NUM!</v>
      </c>
      <c r="K20" s="16" t="e">
        <f>IF(A20=0,0,SUMPRODUCT((记录!$C$2:$C$16=$D$1)*(MONTH(记录!$A$2:$A$16)&lt;=$B$1)*(记录!$B$2:$B$16=$B20)*记录!$J$2:$J$16))</f>
        <v>#NUM!</v>
      </c>
      <c r="L20" s="65" t="e">
        <f t="array" ref="L20">INDEX(记录!K$2:K$16,SMALL(IF((MONTH(记录!$A$2:$A$16)=按业务员查询!$B$1)*(记录!$C$2:$C$16=$D$1),ROW(记录!K$2:K$16)-1),ROW(18:18)))</f>
        <v>#NUM!</v>
      </c>
      <c r="M20" s="24" t="e">
        <f t="shared" si="0"/>
        <v>#NUM!</v>
      </c>
      <c r="N20" s="67" t="e">
        <f t="array" ref="N20">INDEX(记录!L$2:L$16,SMALL(IF((MONTH(记录!$A$2:$A$16)=按业务员查询!$B$1)*(记录!$C$2:$C$16=$D$1),ROW(记录!L$2:L$16)-1),ROW(18:18)))</f>
        <v>#NUM!</v>
      </c>
      <c r="O20" s="61" t="e">
        <f t="array" ref="O20">INDEX(记录!M$2:M$16,SMALL(IF((MONTH(记录!$A$2:$A$16)=按业务员查询!$B$1)*(记录!$C$2:$C$16=$D$1),ROW(记录!M$2:M$16)-1),ROW(18:18)))</f>
        <v>#NUM!</v>
      </c>
      <c r="P20" s="63" t="e">
        <f t="array" ref="P20">INDEX(记录!N$2:N$16,SMALL(IF((MONTH(记录!$A$2:$A$16)=按业务员查询!$B$1)*(记录!$C$2:$C$16=$D$1),ROW(记录!N$2:N$16)-1),ROW(18:18)))</f>
        <v>#NUM!</v>
      </c>
      <c r="Q20" s="26" t="e">
        <f>IF(G20=0,0,SUMPRODUCT((记录!$C$2:$C$16=$D$1)*(MONTH(记录!$A$2:$A$16)&lt;=$B$1)*(记录!$B$2:$B$16=$B20)*记录!$O$2:$O$16))</f>
        <v>#NUM!</v>
      </c>
      <c r="R20" s="27" t="e">
        <f>IF(H20=0,0,SUMPRODUCT((记录!$C$2:$C$16=$D$1)*(MONTH(记录!$A$2:$A$16)&lt;=$B$1)*(记录!$B$2:$B$16=$B20)*记录!$P$2:$P$16))</f>
        <v>#NUM!</v>
      </c>
      <c r="S20" s="27" t="e">
        <f>IF(I20=0,0,SUMPRODUCT((记录!$C$2:$C$16=$D$1)*(MONTH(记录!$A$2:$A$16)&lt;=$B$1)*(记录!$B$2:$B$16=$B20)*记录!$Q$2:$Q$16))</f>
        <v>#NUM!</v>
      </c>
      <c r="T20" s="27" t="e">
        <f>IF(J20=0,0,SUMPRODUCT((记录!$C$2:$C$16=$D$1)*(MONTH(记录!$A$2:$A$16)&lt;=$B$1)*(记录!$B$2:$B$16=$B20)*记录!$R$2:$R$16))</f>
        <v>#NUM!</v>
      </c>
      <c r="U20" s="34" t="e">
        <f>IF(K20=0,0,SUMPRODUCT((记录!$C$2:$C$16=$D$1)*(MONTH(记录!$A$2:$A$16)&lt;=$B$1)*(记录!$B$2:$B$16=$B20)*记录!$S$2:$S$16))</f>
        <v>#NUM!</v>
      </c>
      <c r="V20" s="32"/>
      <c r="W20" s="28"/>
    </row>
    <row r="21" spans="1:23" ht="18" x14ac:dyDescent="0.35">
      <c r="A21" s="61" t="e">
        <f t="array" ref="A21">INDEX(记录!A$2:A$16,SMALL(IF((MONTH(记录!$A$2:$A$16)=按业务员查询!$B$1)*(记录!$C$2:$C$16=$D$1),ROW(记录!A$2:A$16)-1),ROW(19:19)))</f>
        <v>#NUM!</v>
      </c>
      <c r="B21" s="14" t="e">
        <f t="array" ref="B21">INDEX(记录!B$2:B$16,SMALL(IF((MONTH(记录!$A$2:$A$16)=按业务员查询!$B$1)*(记录!$C$2:$C$16=$D$1),ROW(记录!B$2:B$16)-1),ROW(19:19)))</f>
        <v>#NUM!</v>
      </c>
      <c r="C21" s="14" t="e">
        <f t="array" ref="C21">INDEX(记录!D$2:D$16,SMALL(IF((MONTH(记录!$A$2:$A$16)=按业务员查询!$B$1)*(记录!$C$2:$C$16=$D$1),ROW(记录!C$2:C$16)-1),ROW(19:19)))</f>
        <v>#NUM!</v>
      </c>
      <c r="D21" s="62" t="e">
        <f t="array" ref="D21">INDEX(记录!E$2:E$16,SMALL(IF((MONTH(记录!$A$2:$A$16)=按业务员查询!$B$1)*(记录!$C$2:$C$16=$D$1),ROW(记录!E$2:E$16)-1),ROW(19:19)))</f>
        <v>#NUM!</v>
      </c>
      <c r="E21" s="63" t="e">
        <f t="array" ref="E21">INDEX(记录!F$2:F$16,SMALL(IF((MONTH(记录!$A$2:$A$16)=按业务员查询!$B$1)*(记录!$C$2:$C$16=$D$1),ROW(记录!F$2:F$16)-1),ROW(19:19)))</f>
        <v>#NUM!</v>
      </c>
      <c r="F21" s="64" t="e">
        <f>IF(A21=0,0,SUMPRODUCT((记录!$C$2:$C$16=$D$1)*(MONTH(记录!$A$2:$A$16)&lt;=$B$1)*(记录!$B$2:$B$16=$B21)*记录!$G$2:$G$16))</f>
        <v>#NUM!</v>
      </c>
      <c r="G21" s="65" t="e">
        <f t="array" ref="G21">INDEX(记录!H$2:H$16,SMALL(IF((MONTH(记录!$A$2:$A$16)=按业务员查询!$B$1)*(记录!$C$2:$C$16=$D$1),ROW(记录!H$2:H$16)-1),ROW(19:19)))</f>
        <v>#NUM!</v>
      </c>
      <c r="H21" s="16" t="e">
        <f>IF(A21=0,0,SUMPRODUCT((记录!$C$2:$C$16=$D$1)*(MONTH(记录!$A$2:$A$16)&lt;=$B$1)*(记录!$B$2:$B$16=$B21)*记录!$H$2:$H$16))</f>
        <v>#NUM!</v>
      </c>
      <c r="I21" s="62" t="e">
        <f t="array" ref="I21">INDEX(记录!I$2:I$16,SMALL(IF((MONTH(记录!$A$2:$A$16)=按业务员查询!$B$1)*(记录!$C$2:$C$16=$D$1),ROW(记录!I$2:I$16)-1),ROW(19:19)))</f>
        <v>#NUM!</v>
      </c>
      <c r="J21" s="65" t="e">
        <f t="array" ref="J21">INDEX(记录!J$2:J$16,SMALL(IF((MONTH(记录!$A$2:$A$16)=按业务员查询!$B$1)*(记录!$C$2:$C$16=$D$1),ROW(记录!J$2:J$16)-1),ROW(19:19)))</f>
        <v>#NUM!</v>
      </c>
      <c r="K21" s="16" t="e">
        <f>IF(A21=0,0,SUMPRODUCT((记录!$C$2:$C$16=$D$1)*(MONTH(记录!$A$2:$A$16)&lt;=$B$1)*(记录!$B$2:$B$16=$B21)*记录!$J$2:$J$16))</f>
        <v>#NUM!</v>
      </c>
      <c r="L21" s="65" t="e">
        <f t="array" ref="L21">INDEX(记录!K$2:K$16,SMALL(IF((MONTH(记录!$A$2:$A$16)=按业务员查询!$B$1)*(记录!$C$2:$C$16=$D$1),ROW(记录!K$2:K$16)-1),ROW(19:19)))</f>
        <v>#NUM!</v>
      </c>
      <c r="M21" s="24" t="e">
        <f t="shared" si="0"/>
        <v>#NUM!</v>
      </c>
      <c r="N21" s="67" t="e">
        <f t="array" ref="N21">INDEX(记录!L$2:L$16,SMALL(IF((MONTH(记录!$A$2:$A$16)=按业务员查询!$B$1)*(记录!$C$2:$C$16=$D$1),ROW(记录!L$2:L$16)-1),ROW(19:19)))</f>
        <v>#NUM!</v>
      </c>
      <c r="O21" s="61" t="e">
        <f t="array" ref="O21">INDEX(记录!M$2:M$16,SMALL(IF((MONTH(记录!$A$2:$A$16)=按业务员查询!$B$1)*(记录!$C$2:$C$16=$D$1),ROW(记录!M$2:M$16)-1),ROW(19:19)))</f>
        <v>#NUM!</v>
      </c>
      <c r="P21" s="63" t="e">
        <f t="array" ref="P21">INDEX(记录!N$2:N$16,SMALL(IF((MONTH(记录!$A$2:$A$16)=按业务员查询!$B$1)*(记录!$C$2:$C$16=$D$1),ROW(记录!N$2:N$16)-1),ROW(19:19)))</f>
        <v>#NUM!</v>
      </c>
      <c r="Q21" s="26" t="e">
        <f>IF(G21=0,0,SUMPRODUCT((记录!$C$2:$C$16=$D$1)*(MONTH(记录!$A$2:$A$16)&lt;=$B$1)*(记录!$B$2:$B$16=$B21)*记录!$O$2:$O$16))</f>
        <v>#NUM!</v>
      </c>
      <c r="R21" s="27" t="e">
        <f>IF(H21=0,0,SUMPRODUCT((记录!$C$2:$C$16=$D$1)*(MONTH(记录!$A$2:$A$16)&lt;=$B$1)*(记录!$B$2:$B$16=$B21)*记录!$P$2:$P$16))</f>
        <v>#NUM!</v>
      </c>
      <c r="S21" s="27" t="e">
        <f>IF(I21=0,0,SUMPRODUCT((记录!$C$2:$C$16=$D$1)*(MONTH(记录!$A$2:$A$16)&lt;=$B$1)*(记录!$B$2:$B$16=$B21)*记录!$Q$2:$Q$16))</f>
        <v>#NUM!</v>
      </c>
      <c r="T21" s="27" t="e">
        <f>IF(J21=0,0,SUMPRODUCT((记录!$C$2:$C$16=$D$1)*(MONTH(记录!$A$2:$A$16)&lt;=$B$1)*(记录!$B$2:$B$16=$B21)*记录!$R$2:$R$16))</f>
        <v>#NUM!</v>
      </c>
      <c r="U21" s="34" t="e">
        <f>IF(K21=0,0,SUMPRODUCT((记录!$C$2:$C$16=$D$1)*(MONTH(记录!$A$2:$A$16)&lt;=$B$1)*(记录!$B$2:$B$16=$B21)*记录!$S$2:$S$16))</f>
        <v>#NUM!</v>
      </c>
      <c r="V21" s="32"/>
      <c r="W21" s="28"/>
    </row>
    <row r="22" spans="1:23" ht="18" x14ac:dyDescent="0.35">
      <c r="A22" s="61" t="e">
        <f t="array" ref="A22">INDEX(记录!A$2:A$16,SMALL(IF((MONTH(记录!$A$2:$A$16)=按业务员查询!$B$1)*(记录!$C$2:$C$16=$D$1),ROW(记录!A$2:A$16)-1),ROW(20:20)))</f>
        <v>#NUM!</v>
      </c>
      <c r="B22" s="14" t="e">
        <f t="array" ref="B22">INDEX(记录!B$2:B$16,SMALL(IF((MONTH(记录!$A$2:$A$16)=按业务员查询!$B$1)*(记录!$C$2:$C$16=$D$1),ROW(记录!B$2:B$16)-1),ROW(20:20)))</f>
        <v>#NUM!</v>
      </c>
      <c r="C22" s="14" t="e">
        <f t="array" ref="C22">INDEX(记录!D$2:D$16,SMALL(IF((MONTH(记录!$A$2:$A$16)=按业务员查询!$B$1)*(记录!$C$2:$C$16=$D$1),ROW(记录!C$2:C$16)-1),ROW(20:20)))</f>
        <v>#NUM!</v>
      </c>
      <c r="D22" s="62" t="e">
        <f t="array" ref="D22">INDEX(记录!E$2:E$16,SMALL(IF((MONTH(记录!$A$2:$A$16)=按业务员查询!$B$1)*(记录!$C$2:$C$16=$D$1),ROW(记录!E$2:E$16)-1),ROW(20:20)))</f>
        <v>#NUM!</v>
      </c>
      <c r="E22" s="63" t="e">
        <f t="array" ref="E22">INDEX(记录!F$2:F$16,SMALL(IF((MONTH(记录!$A$2:$A$16)=按业务员查询!$B$1)*(记录!$C$2:$C$16=$D$1),ROW(记录!F$2:F$16)-1),ROW(20:20)))</f>
        <v>#NUM!</v>
      </c>
      <c r="F22" s="64" t="e">
        <f>IF(A22=0,0,SUMPRODUCT((记录!$C$2:$C$16=$D$1)*(MONTH(记录!$A$2:$A$16)&lt;=$B$1)*(记录!$B$2:$B$16=$B22)*记录!$G$2:$G$16))</f>
        <v>#NUM!</v>
      </c>
      <c r="G22" s="65" t="e">
        <f t="array" ref="G22">INDEX(记录!H$2:H$16,SMALL(IF((MONTH(记录!$A$2:$A$16)=按业务员查询!$B$1)*(记录!$C$2:$C$16=$D$1),ROW(记录!H$2:H$16)-1),ROW(20:20)))</f>
        <v>#NUM!</v>
      </c>
      <c r="H22" s="16" t="e">
        <f>IF(A22=0,0,SUMPRODUCT((记录!$C$2:$C$16=$D$1)*(MONTH(记录!$A$2:$A$16)&lt;=$B$1)*(记录!$B$2:$B$16=$B22)*记录!$H$2:$H$16))</f>
        <v>#NUM!</v>
      </c>
      <c r="I22" s="62" t="e">
        <f t="array" ref="I22">INDEX(记录!I$2:I$16,SMALL(IF((MONTH(记录!$A$2:$A$16)=按业务员查询!$B$1)*(记录!$C$2:$C$16=$D$1),ROW(记录!I$2:I$16)-1),ROW(20:20)))</f>
        <v>#NUM!</v>
      </c>
      <c r="J22" s="65" t="e">
        <f t="array" ref="J22">INDEX(记录!J$2:J$16,SMALL(IF((MONTH(记录!$A$2:$A$16)=按业务员查询!$B$1)*(记录!$C$2:$C$16=$D$1),ROW(记录!J$2:J$16)-1),ROW(20:20)))</f>
        <v>#NUM!</v>
      </c>
      <c r="K22" s="16" t="e">
        <f>IF(A22=0,0,SUMPRODUCT((记录!$C$2:$C$16=$D$1)*(MONTH(记录!$A$2:$A$16)&lt;=$B$1)*(记录!$B$2:$B$16=$B22)*记录!$J$2:$J$16))</f>
        <v>#NUM!</v>
      </c>
      <c r="L22" s="65" t="e">
        <f t="array" ref="L22">INDEX(记录!K$2:K$16,SMALL(IF((MONTH(记录!$A$2:$A$16)=按业务员查询!$B$1)*(记录!$C$2:$C$16=$D$1),ROW(记录!K$2:K$16)-1),ROW(20:20)))</f>
        <v>#NUM!</v>
      </c>
      <c r="M22" s="24" t="e">
        <f t="shared" si="0"/>
        <v>#NUM!</v>
      </c>
      <c r="N22" s="67" t="e">
        <f t="array" ref="N22">INDEX(记录!L$2:L$16,SMALL(IF((MONTH(记录!$A$2:$A$16)=按业务员查询!$B$1)*(记录!$C$2:$C$16=$D$1),ROW(记录!L$2:L$16)-1),ROW(20:20)))</f>
        <v>#NUM!</v>
      </c>
      <c r="O22" s="61" t="e">
        <f t="array" ref="O22">INDEX(记录!M$2:M$16,SMALL(IF((MONTH(记录!$A$2:$A$16)=按业务员查询!$B$1)*(记录!$C$2:$C$16=$D$1),ROW(记录!M$2:M$16)-1),ROW(20:20)))</f>
        <v>#NUM!</v>
      </c>
      <c r="P22" s="63" t="e">
        <f t="array" ref="P22">INDEX(记录!N$2:N$16,SMALL(IF((MONTH(记录!$A$2:$A$16)=按业务员查询!$B$1)*(记录!$C$2:$C$16=$D$1),ROW(记录!N$2:N$16)-1),ROW(20:20)))</f>
        <v>#NUM!</v>
      </c>
      <c r="Q22" s="26" t="e">
        <f>IF(G22=0,0,SUMPRODUCT((记录!$C$2:$C$16=$D$1)*(MONTH(记录!$A$2:$A$16)&lt;=$B$1)*(记录!$B$2:$B$16=$B22)*记录!$O$2:$O$16))</f>
        <v>#NUM!</v>
      </c>
      <c r="R22" s="27" t="e">
        <f>IF(H22=0,0,SUMPRODUCT((记录!$C$2:$C$16=$D$1)*(MONTH(记录!$A$2:$A$16)&lt;=$B$1)*(记录!$B$2:$B$16=$B22)*记录!$P$2:$P$16))</f>
        <v>#NUM!</v>
      </c>
      <c r="S22" s="27" t="e">
        <f>IF(I22=0,0,SUMPRODUCT((记录!$C$2:$C$16=$D$1)*(MONTH(记录!$A$2:$A$16)&lt;=$B$1)*(记录!$B$2:$B$16=$B22)*记录!$Q$2:$Q$16))</f>
        <v>#NUM!</v>
      </c>
      <c r="T22" s="27" t="e">
        <f>IF(J22=0,0,SUMPRODUCT((记录!$C$2:$C$16=$D$1)*(MONTH(记录!$A$2:$A$16)&lt;=$B$1)*(记录!$B$2:$B$16=$B22)*记录!$R$2:$R$16))</f>
        <v>#NUM!</v>
      </c>
      <c r="U22" s="34" t="e">
        <f>IF(K22=0,0,SUMPRODUCT((记录!$C$2:$C$16=$D$1)*(MONTH(记录!$A$2:$A$16)&lt;=$B$1)*(记录!$B$2:$B$16=$B22)*记录!$S$2:$S$16))</f>
        <v>#NUM!</v>
      </c>
      <c r="V22" s="32"/>
      <c r="W22" s="28"/>
    </row>
    <row r="23" spans="1:23" ht="18" x14ac:dyDescent="0.35">
      <c r="A23" s="61" t="e">
        <f t="array" ref="A23">INDEX(记录!A$2:A$16,SMALL(IF((MONTH(记录!$A$2:$A$16)=按业务员查询!$B$1)*(记录!$C$2:$C$16=$D$1),ROW(记录!A$2:A$16)-1),ROW(21:21)))</f>
        <v>#NUM!</v>
      </c>
      <c r="B23" s="14" t="e">
        <f t="array" ref="B23">INDEX(记录!B$2:B$16,SMALL(IF((MONTH(记录!$A$2:$A$16)=按业务员查询!$B$1)*(记录!$C$2:$C$16=$D$1),ROW(记录!B$2:B$16)-1),ROW(21:21)))</f>
        <v>#NUM!</v>
      </c>
      <c r="C23" s="14" t="e">
        <f t="array" ref="C23">INDEX(记录!D$2:D$16,SMALL(IF((MONTH(记录!$A$2:$A$16)=按业务员查询!$B$1)*(记录!$C$2:$C$16=$D$1),ROW(记录!C$2:C$16)-1),ROW(21:21)))</f>
        <v>#NUM!</v>
      </c>
      <c r="D23" s="62" t="e">
        <f t="array" ref="D23">INDEX(记录!E$2:E$16,SMALL(IF((MONTH(记录!$A$2:$A$16)=按业务员查询!$B$1)*(记录!$C$2:$C$16=$D$1),ROW(记录!E$2:E$16)-1),ROW(21:21)))</f>
        <v>#NUM!</v>
      </c>
      <c r="E23" s="63" t="e">
        <f t="array" ref="E23">INDEX(记录!F$2:F$16,SMALL(IF((MONTH(记录!$A$2:$A$16)=按业务员查询!$B$1)*(记录!$C$2:$C$16=$D$1),ROW(记录!F$2:F$16)-1),ROW(21:21)))</f>
        <v>#NUM!</v>
      </c>
      <c r="F23" s="64" t="e">
        <f>IF(A23=0,0,SUMPRODUCT((记录!$C$2:$C$16=$D$1)*(MONTH(记录!$A$2:$A$16)&lt;=$B$1)*(记录!$B$2:$B$16=$B23)*记录!$G$2:$G$16))</f>
        <v>#NUM!</v>
      </c>
      <c r="G23" s="65" t="e">
        <f t="array" ref="G23">INDEX(记录!H$2:H$16,SMALL(IF((MONTH(记录!$A$2:$A$16)=按业务员查询!$B$1)*(记录!$C$2:$C$16=$D$1),ROW(记录!H$2:H$16)-1),ROW(21:21)))</f>
        <v>#NUM!</v>
      </c>
      <c r="H23" s="16" t="e">
        <f>IF(A23=0,0,SUMPRODUCT((记录!$C$2:$C$16=$D$1)*(MONTH(记录!$A$2:$A$16)&lt;=$B$1)*(记录!$B$2:$B$16=$B23)*记录!$H$2:$H$16))</f>
        <v>#NUM!</v>
      </c>
      <c r="I23" s="62" t="e">
        <f t="array" ref="I23">INDEX(记录!I$2:I$16,SMALL(IF((MONTH(记录!$A$2:$A$16)=按业务员查询!$B$1)*(记录!$C$2:$C$16=$D$1),ROW(记录!I$2:I$16)-1),ROW(21:21)))</f>
        <v>#NUM!</v>
      </c>
      <c r="J23" s="65" t="e">
        <f t="array" ref="J23">INDEX(记录!J$2:J$16,SMALL(IF((MONTH(记录!$A$2:$A$16)=按业务员查询!$B$1)*(记录!$C$2:$C$16=$D$1),ROW(记录!J$2:J$16)-1),ROW(21:21)))</f>
        <v>#NUM!</v>
      </c>
      <c r="K23" s="16" t="e">
        <f>IF(A23=0,0,SUMPRODUCT((记录!$C$2:$C$16=$D$1)*(MONTH(记录!$A$2:$A$16)&lt;=$B$1)*(记录!$B$2:$B$16=$B23)*记录!$J$2:$J$16))</f>
        <v>#NUM!</v>
      </c>
      <c r="L23" s="65" t="e">
        <f t="array" ref="L23">INDEX(记录!K$2:K$16,SMALL(IF((MONTH(记录!$A$2:$A$16)=按业务员查询!$B$1)*(记录!$C$2:$C$16=$D$1),ROW(记录!K$2:K$16)-1),ROW(21:21)))</f>
        <v>#NUM!</v>
      </c>
      <c r="M23" s="24" t="e">
        <f t="shared" si="0"/>
        <v>#NUM!</v>
      </c>
      <c r="N23" s="67" t="e">
        <f t="array" ref="N23">INDEX(记录!L$2:L$16,SMALL(IF((MONTH(记录!$A$2:$A$16)=按业务员查询!$B$1)*(记录!$C$2:$C$16=$D$1),ROW(记录!L$2:L$16)-1),ROW(21:21)))</f>
        <v>#NUM!</v>
      </c>
      <c r="O23" s="61" t="e">
        <f t="array" ref="O23">INDEX(记录!M$2:M$16,SMALL(IF((MONTH(记录!$A$2:$A$16)=按业务员查询!$B$1)*(记录!$C$2:$C$16=$D$1),ROW(记录!M$2:M$16)-1),ROW(21:21)))</f>
        <v>#NUM!</v>
      </c>
      <c r="P23" s="63" t="e">
        <f t="array" ref="P23">INDEX(记录!N$2:N$16,SMALL(IF((MONTH(记录!$A$2:$A$16)=按业务员查询!$B$1)*(记录!$C$2:$C$16=$D$1),ROW(记录!N$2:N$16)-1),ROW(21:21)))</f>
        <v>#NUM!</v>
      </c>
      <c r="Q23" s="26" t="e">
        <f>IF(G23=0,0,SUMPRODUCT((记录!$C$2:$C$16=$D$1)*(MONTH(记录!$A$2:$A$16)&lt;=$B$1)*(记录!$B$2:$B$16=$B23)*记录!$O$2:$O$16))</f>
        <v>#NUM!</v>
      </c>
      <c r="R23" s="27" t="e">
        <f>IF(H23=0,0,SUMPRODUCT((记录!$C$2:$C$16=$D$1)*(MONTH(记录!$A$2:$A$16)&lt;=$B$1)*(记录!$B$2:$B$16=$B23)*记录!$P$2:$P$16))</f>
        <v>#NUM!</v>
      </c>
      <c r="S23" s="27" t="e">
        <f>IF(I23=0,0,SUMPRODUCT((记录!$C$2:$C$16=$D$1)*(MONTH(记录!$A$2:$A$16)&lt;=$B$1)*(记录!$B$2:$B$16=$B23)*记录!$Q$2:$Q$16))</f>
        <v>#NUM!</v>
      </c>
      <c r="T23" s="27" t="e">
        <f>IF(J23=0,0,SUMPRODUCT((记录!$C$2:$C$16=$D$1)*(MONTH(记录!$A$2:$A$16)&lt;=$B$1)*(记录!$B$2:$B$16=$B23)*记录!$R$2:$R$16))</f>
        <v>#NUM!</v>
      </c>
      <c r="U23" s="34" t="e">
        <f>IF(K23=0,0,SUMPRODUCT((记录!$C$2:$C$16=$D$1)*(MONTH(记录!$A$2:$A$16)&lt;=$B$1)*(记录!$B$2:$B$16=$B23)*记录!$S$2:$S$16))</f>
        <v>#NUM!</v>
      </c>
      <c r="V23" s="32"/>
      <c r="W23" s="28"/>
    </row>
    <row r="24" spans="1:23" ht="18" x14ac:dyDescent="0.35">
      <c r="A24" s="61" t="e">
        <f t="array" ref="A24">INDEX(记录!A$2:A$16,SMALL(IF((MONTH(记录!$A$2:$A$16)=按业务员查询!$B$1)*(记录!$C$2:$C$16=$D$1),ROW(记录!A$2:A$16)-1),ROW(22:22)))</f>
        <v>#NUM!</v>
      </c>
      <c r="B24" s="14" t="e">
        <f t="array" ref="B24">INDEX(记录!B$2:B$16,SMALL(IF((MONTH(记录!$A$2:$A$16)=按业务员查询!$B$1)*(记录!$C$2:$C$16=$D$1),ROW(记录!B$2:B$16)-1),ROW(22:22)))</f>
        <v>#NUM!</v>
      </c>
      <c r="C24" s="14" t="e">
        <f t="array" ref="C24">INDEX(记录!D$2:D$16,SMALL(IF((MONTH(记录!$A$2:$A$16)=按业务员查询!$B$1)*(记录!$C$2:$C$16=$D$1),ROW(记录!C$2:C$16)-1),ROW(22:22)))</f>
        <v>#NUM!</v>
      </c>
      <c r="D24" s="62" t="e">
        <f t="array" ref="D24">INDEX(记录!E$2:E$16,SMALL(IF((MONTH(记录!$A$2:$A$16)=按业务员查询!$B$1)*(记录!$C$2:$C$16=$D$1),ROW(记录!E$2:E$16)-1),ROW(22:22)))</f>
        <v>#NUM!</v>
      </c>
      <c r="E24" s="63" t="e">
        <f t="array" ref="E24">INDEX(记录!F$2:F$16,SMALL(IF((MONTH(记录!$A$2:$A$16)=按业务员查询!$B$1)*(记录!$C$2:$C$16=$D$1),ROW(记录!F$2:F$16)-1),ROW(22:22)))</f>
        <v>#NUM!</v>
      </c>
      <c r="F24" s="64" t="e">
        <f>IF(A24=0,0,SUMPRODUCT((记录!$C$2:$C$16=$D$1)*(MONTH(记录!$A$2:$A$16)&lt;=$B$1)*(记录!$B$2:$B$16=$B24)*记录!$G$2:$G$16))</f>
        <v>#NUM!</v>
      </c>
      <c r="G24" s="65" t="e">
        <f t="array" ref="G24">INDEX(记录!H$2:H$16,SMALL(IF((MONTH(记录!$A$2:$A$16)=按业务员查询!$B$1)*(记录!$C$2:$C$16=$D$1),ROW(记录!H$2:H$16)-1),ROW(22:22)))</f>
        <v>#NUM!</v>
      </c>
      <c r="H24" s="16" t="e">
        <f>IF(A24=0,0,SUMPRODUCT((记录!$C$2:$C$16=$D$1)*(MONTH(记录!$A$2:$A$16)&lt;=$B$1)*(记录!$B$2:$B$16=$B24)*记录!$H$2:$H$16))</f>
        <v>#NUM!</v>
      </c>
      <c r="I24" s="62" t="e">
        <f t="array" ref="I24">INDEX(记录!I$2:I$16,SMALL(IF((MONTH(记录!$A$2:$A$16)=按业务员查询!$B$1)*(记录!$C$2:$C$16=$D$1),ROW(记录!I$2:I$16)-1),ROW(22:22)))</f>
        <v>#NUM!</v>
      </c>
      <c r="J24" s="65" t="e">
        <f t="array" ref="J24">INDEX(记录!J$2:J$16,SMALL(IF((MONTH(记录!$A$2:$A$16)=按业务员查询!$B$1)*(记录!$C$2:$C$16=$D$1),ROW(记录!J$2:J$16)-1),ROW(22:22)))</f>
        <v>#NUM!</v>
      </c>
      <c r="K24" s="16" t="e">
        <f>IF(A24=0,0,SUMPRODUCT((记录!$C$2:$C$16=$D$1)*(MONTH(记录!$A$2:$A$16)&lt;=$B$1)*(记录!$B$2:$B$16=$B24)*记录!$J$2:$J$16))</f>
        <v>#NUM!</v>
      </c>
      <c r="L24" s="65" t="e">
        <f t="array" ref="L24">INDEX(记录!K$2:K$16,SMALL(IF((MONTH(记录!$A$2:$A$16)=按业务员查询!$B$1)*(记录!$C$2:$C$16=$D$1),ROW(记录!K$2:K$16)-1),ROW(22:22)))</f>
        <v>#NUM!</v>
      </c>
      <c r="M24" s="24" t="e">
        <f t="shared" si="0"/>
        <v>#NUM!</v>
      </c>
      <c r="N24" s="67" t="e">
        <f t="array" ref="N24">INDEX(记录!L$2:L$16,SMALL(IF((MONTH(记录!$A$2:$A$16)=按业务员查询!$B$1)*(记录!$C$2:$C$16=$D$1),ROW(记录!L$2:L$16)-1),ROW(22:22)))</f>
        <v>#NUM!</v>
      </c>
      <c r="O24" s="61" t="e">
        <f t="array" ref="O24">INDEX(记录!M$2:M$16,SMALL(IF((MONTH(记录!$A$2:$A$16)=按业务员查询!$B$1)*(记录!$C$2:$C$16=$D$1),ROW(记录!M$2:M$16)-1),ROW(22:22)))</f>
        <v>#NUM!</v>
      </c>
      <c r="P24" s="63" t="e">
        <f t="array" ref="P24">INDEX(记录!N$2:N$16,SMALL(IF((MONTH(记录!$A$2:$A$16)=按业务员查询!$B$1)*(记录!$C$2:$C$16=$D$1),ROW(记录!N$2:N$16)-1),ROW(22:22)))</f>
        <v>#NUM!</v>
      </c>
      <c r="Q24" s="72" t="e">
        <f>IF(G24=0,0,SUMPRODUCT((记录!$C$2:$C$16=$D$1)*(MONTH(记录!$A$2:$A$16)&lt;=$B$1)*(记录!$B$2:$B$16=$B24)*记录!$O$2:$O$16))</f>
        <v>#NUM!</v>
      </c>
      <c r="R24" s="73" t="e">
        <f>IF(H24=0,0,SUMPRODUCT((记录!$C$2:$C$16=$D$1)*(MONTH(记录!$A$2:$A$16)&lt;=$B$1)*(记录!$B$2:$B$16=$B24)*记录!$P$2:$P$16))</f>
        <v>#NUM!</v>
      </c>
      <c r="S24" s="73" t="e">
        <f>IF(I24=0,0,SUMPRODUCT((记录!$C$2:$C$16=$D$1)*(MONTH(记录!$A$2:$A$16)&lt;=$B$1)*(记录!$B$2:$B$16=$B24)*记录!$Q$2:$Q$16))</f>
        <v>#NUM!</v>
      </c>
      <c r="T24" s="73" t="e">
        <f>IF(J24=0,0,SUMPRODUCT((记录!$C$2:$C$16=$D$1)*(MONTH(记录!$A$2:$A$16)&lt;=$B$1)*(记录!$B$2:$B$16=$B24)*记录!$R$2:$R$16))</f>
        <v>#NUM!</v>
      </c>
      <c r="U24" s="74" t="e">
        <f>IF(K24=0,0,SUMPRODUCT((记录!$C$2:$C$16=$D$1)*(MONTH(记录!$A$2:$A$16)&lt;=$B$1)*(记录!$B$2:$B$16=$B24)*记录!$S$2:$S$16))</f>
        <v>#NUM!</v>
      </c>
      <c r="V24" s="32"/>
      <c r="W24" s="28"/>
    </row>
    <row r="25" spans="1:23" x14ac:dyDescent="0.3">
      <c r="Q25" s="28"/>
    </row>
  </sheetData>
  <phoneticPr fontId="29" type="noConversion"/>
  <conditionalFormatting sqref="M3:M24">
    <cfRule type="expression" dxfId="6" priority="3" stopIfTrue="1">
      <formula>ISERR(M3)</formula>
    </cfRule>
  </conditionalFormatting>
  <conditionalFormatting sqref="A3:G24 I3:J24 L3:L24 N3:P24">
    <cfRule type="expression" dxfId="5" priority="1" stopIfTrue="1">
      <formula>ISERR(A3)</formula>
    </cfRule>
  </conditionalFormatting>
  <conditionalFormatting sqref="Q3:U24 K3:K24 H3:H24">
    <cfRule type="expression" dxfId="4" priority="2" stopIfTrue="1">
      <formula>ISERR(H3)</formula>
    </cfRule>
  </conditionalFormatting>
  <conditionalFormatting sqref="V4:W24">
    <cfRule type="expression" dxfId="3" priority="4" stopIfTrue="1">
      <formula>ISERR(V4)</formula>
    </cfRule>
  </conditionalFormatting>
  <dataValidations count="2">
    <dataValidation type="list" allowBlank="1" showInputMessage="1" showErrorMessage="1" sqref="B1" xr:uid="{00000000-0002-0000-0200-000000000000}">
      <formula1>"1,2,3,4,5,6,7,8,9,10,11,12"</formula1>
    </dataValidation>
    <dataValidation type="list" allowBlank="1" showInputMessage="1" showErrorMessage="1" sqref="D1" xr:uid="{00000000-0002-0000-0200-000001000000}">
      <formula1>$Y$2:$Y$15</formula1>
    </dataValidation>
  </dataValidations>
  <pageMargins left="0.75" right="0.75" top="1" bottom="1" header="0.5" footer="0.5"/>
  <pageSetup paperSize="9" orientation="portrait"/>
  <headerFooter alignWithMargins="0"/>
  <ignoredErrors>
    <ignoredError sqref="Q4:U24 N6:P24 G6:G24 A6:E24 L6:L24 I6:J24 L4:L5 I4:J5 G4:G5 A4:E5 N4:P5" evalError="1" emptyCellReference="1"/>
    <ignoredError sqref="Q3:U3 G3 B3:E3 I3:J3 L3 M3 N3 P3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L15"/>
  <sheetViews>
    <sheetView workbookViewId="0">
      <selection activeCell="I10" sqref="I10"/>
    </sheetView>
  </sheetViews>
  <sheetFormatPr defaultColWidth="9" defaultRowHeight="17.25" x14ac:dyDescent="0.3"/>
  <cols>
    <col min="1" max="1" width="9" style="37"/>
    <col min="2" max="2" width="11.5" style="37" customWidth="1"/>
    <col min="3" max="4" width="10.625" style="37" customWidth="1"/>
    <col min="5" max="5" width="10.75" style="37" customWidth="1"/>
    <col min="6" max="6" width="11.875" style="37" customWidth="1"/>
    <col min="7" max="7" width="11.75" style="37" customWidth="1"/>
    <col min="8" max="8" width="11.875" style="37" customWidth="1"/>
    <col min="9" max="10" width="11.125" style="37" customWidth="1"/>
    <col min="11" max="11" width="13" style="37" customWidth="1"/>
    <col min="12" max="12" width="12.25" style="37" customWidth="1"/>
    <col min="13" max="16384" width="9" style="37"/>
  </cols>
  <sheetData>
    <row r="2" spans="2:12" ht="40.5" x14ac:dyDescent="0.7">
      <c r="B2" s="38"/>
      <c r="C2" s="38"/>
      <c r="D2" s="132" t="s">
        <v>66</v>
      </c>
      <c r="E2" s="132"/>
      <c r="F2" s="132"/>
      <c r="G2" s="132"/>
      <c r="H2" s="132"/>
      <c r="I2" s="38"/>
      <c r="J2" s="38"/>
      <c r="K2" s="47"/>
    </row>
    <row r="3" spans="2:12" s="36" customFormat="1" ht="24.95" customHeight="1" x14ac:dyDescent="0.3">
      <c r="B3" s="39" t="s">
        <v>4</v>
      </c>
      <c r="C3" s="39" t="s">
        <v>22</v>
      </c>
      <c r="D3" s="39" t="s">
        <v>26</v>
      </c>
      <c r="E3" s="39" t="s">
        <v>42</v>
      </c>
      <c r="F3" s="39" t="s">
        <v>30</v>
      </c>
      <c r="G3" s="39" t="s">
        <v>45</v>
      </c>
      <c r="H3" s="39" t="s">
        <v>36</v>
      </c>
      <c r="I3" s="39" t="s">
        <v>48</v>
      </c>
      <c r="J3" s="122" t="s">
        <v>52</v>
      </c>
      <c r="K3" s="49"/>
      <c r="L3" s="50"/>
    </row>
    <row r="4" spans="2:12" s="36" customFormat="1" ht="24.95" customHeight="1" x14ac:dyDescent="0.3">
      <c r="B4" s="39" t="s">
        <v>67</v>
      </c>
      <c r="C4" s="40" t="s">
        <v>68</v>
      </c>
      <c r="D4" s="40" t="s">
        <v>68</v>
      </c>
      <c r="E4" s="40" t="s">
        <v>68</v>
      </c>
      <c r="F4" s="40" t="s">
        <v>69</v>
      </c>
      <c r="G4" s="40" t="s">
        <v>69</v>
      </c>
      <c r="H4" s="40" t="s">
        <v>69</v>
      </c>
      <c r="I4" s="40" t="s">
        <v>70</v>
      </c>
      <c r="J4" s="40" t="s">
        <v>70</v>
      </c>
      <c r="K4" s="49"/>
      <c r="L4" s="51"/>
    </row>
    <row r="5" spans="2:12" s="36" customFormat="1" ht="24.95" customHeight="1" x14ac:dyDescent="0.3">
      <c r="B5" s="41" t="s">
        <v>71</v>
      </c>
      <c r="C5" s="42">
        <f>SUMPRODUCT((记录!$C$2:$C$16=$C$3)*记录!$G$2:$G$16)/1000</f>
        <v>18</v>
      </c>
      <c r="D5" s="42">
        <f>SUMPRODUCT((记录!$C$2:$C$16=$D$3)*记录!$G$2:$G$16)/1000</f>
        <v>1.5</v>
      </c>
      <c r="E5" s="42">
        <f>SUMPRODUCT((记录!$C$2:$C$16=$E$3)*记录!$G$2:$G$16)/1000</f>
        <v>0</v>
      </c>
      <c r="F5" s="42">
        <f>SUMPRODUCT((记录!$C$2:$C$16=$F$3)*记录!$G$2:$G$16)/1000</f>
        <v>2</v>
      </c>
      <c r="G5" s="42">
        <f>SUMPRODUCT((记录!$C$2:$C$16=$G$3)*记录!$G$2:$G$16)/1000</f>
        <v>0</v>
      </c>
      <c r="H5" s="42">
        <f>SUMPRODUCT((记录!$C$2:$C$16=$H$3)*记录!$G$2:$G$16)/1000</f>
        <v>0</v>
      </c>
      <c r="I5" s="42">
        <f>SUMPRODUCT((记录!$C$2:$C$16=$I$3)*记录!$G$2:$G$16)/1000</f>
        <v>0</v>
      </c>
      <c r="J5" s="42">
        <f>SUMPRODUCT((记录!$C$2:$C$16=$J$3)*记录!$G$2:$G$16)/1000</f>
        <v>0</v>
      </c>
      <c r="K5" s="49"/>
      <c r="L5" s="49"/>
    </row>
    <row r="6" spans="2:12" s="36" customFormat="1" ht="24.95" customHeight="1" x14ac:dyDescent="0.3">
      <c r="B6" s="41" t="s">
        <v>72</v>
      </c>
      <c r="C6" s="42">
        <f>SUMPRODUCT((记录!$C$2:$C$16=$C$3)*记录!$H$2:$H$16)/1000</f>
        <v>68.2</v>
      </c>
      <c r="D6" s="42">
        <f>SUMPRODUCT((记录!$C$2:$C$16=$D$3)*记录!$H$2:$H$16)/1000</f>
        <v>14</v>
      </c>
      <c r="E6" s="42">
        <f>SUMPRODUCT((记录!$C$2:$C$16=$E$3)*记录!$H$2:$H$16)/1000</f>
        <v>30</v>
      </c>
      <c r="F6" s="42">
        <f>SUMPRODUCT((记录!$C$2:$C$16=$F$3)*记录!$H$2:$H$16)/1000</f>
        <v>28</v>
      </c>
      <c r="G6" s="42">
        <f>SUMPRODUCT((记录!$C$2:$C$16=$G$3)*记录!$H$2:$H$16)/1000</f>
        <v>31</v>
      </c>
      <c r="H6" s="42">
        <f>SUMPRODUCT((记录!$C$2:$C$16=$H$3)*记录!$H$2:$H$16)/1000</f>
        <v>12</v>
      </c>
      <c r="I6" s="42">
        <f>SUMPRODUCT((记录!$C$2:$C$16=$I$3)*记录!$H$2:$H$16)/1000</f>
        <v>29</v>
      </c>
      <c r="J6" s="42">
        <f>SUMPRODUCT((记录!$C$2:$C$16=$J$3)*记录!$H$2:$H$16)/1000</f>
        <v>32</v>
      </c>
      <c r="K6" s="49"/>
      <c r="L6" s="49"/>
    </row>
    <row r="7" spans="2:12" s="36" customFormat="1" ht="24.95" customHeight="1" x14ac:dyDescent="0.3">
      <c r="B7" s="41" t="s">
        <v>73</v>
      </c>
      <c r="C7" s="42">
        <f>SUMPRODUCT((记录!$C$2:$C$16=$C$3)*记录!$J$2:$J$16)/1000</f>
        <v>69.5</v>
      </c>
      <c r="D7" s="42">
        <f>SUMPRODUCT((记录!$C$2:$C$16=$D$3)*记录!$J$2:$J$16)/1000</f>
        <v>12.5</v>
      </c>
      <c r="E7" s="42">
        <f>SUMPRODUCT((记录!$C$2:$C$16=$E$3)*记录!$J$2:$J$16)/1000</f>
        <v>23</v>
      </c>
      <c r="F7" s="42">
        <f>SUMPRODUCT((记录!$C$2:$C$16=$F$3)*记录!$J$2:$J$16)/1000</f>
        <v>26</v>
      </c>
      <c r="G7" s="42">
        <f>SUMPRODUCT((记录!$C$2:$C$16=$G$3)*记录!$J$2:$J$16)/1000</f>
        <v>30</v>
      </c>
      <c r="H7" s="42">
        <f>SUMPRODUCT((记录!$C$2:$C$16=$H$3)*记录!$J$2:$J$16)/1000</f>
        <v>8</v>
      </c>
      <c r="I7" s="42">
        <f>SUMPRODUCT((记录!$C$2:$C$16=$I$3)*记录!$J$2:$J$16)/1000</f>
        <v>26</v>
      </c>
      <c r="J7" s="42">
        <f>SUMPRODUCT((记录!$C$2:$C$16=$J$3)*记录!$J$2:$J$16)/1000</f>
        <v>31</v>
      </c>
      <c r="K7" s="49"/>
      <c r="L7" s="49"/>
    </row>
    <row r="8" spans="2:12" s="36" customFormat="1" ht="24.95" customHeight="1" x14ac:dyDescent="0.3">
      <c r="B8" s="41" t="s">
        <v>74</v>
      </c>
      <c r="C8" s="42">
        <f>SUMPRODUCT((记录!$C$2:$C$16=$C$3)*记录!$K$2:$K$16)/1000</f>
        <v>16.7</v>
      </c>
      <c r="D8" s="42">
        <f>SUMPRODUCT((记录!$C$2:$C$16=$D$3)*记录!$K$2:$K$16)/1000</f>
        <v>3</v>
      </c>
      <c r="E8" s="42">
        <f>SUMPRODUCT((记录!$C$2:$C$16=$E$3)*记录!$K$2:$K$16)/1000</f>
        <v>7</v>
      </c>
      <c r="F8" s="42">
        <f>SUMPRODUCT((记录!$C$2:$C$16=$F$3)*记录!$K$2:$K$16)/1000</f>
        <v>4</v>
      </c>
      <c r="G8" s="42">
        <f>SUMPRODUCT((记录!$C$2:$C$16=$G$3)*记录!$K$2:$K$16)/1000</f>
        <v>1</v>
      </c>
      <c r="H8" s="42">
        <f>SUMPRODUCT((记录!$C$2:$C$16=$H$3)*记录!$K$2:$K$16)/1000</f>
        <v>4</v>
      </c>
      <c r="I8" s="42">
        <f>SUMPRODUCT((记录!$C$2:$C$16=$I$3)*记录!$K$2:$K$16)/1000</f>
        <v>3</v>
      </c>
      <c r="J8" s="42">
        <f>SUMPRODUCT((记录!$C$2:$C$16=$J$3)*记录!$K$2:$K$16)/1000</f>
        <v>1</v>
      </c>
      <c r="K8" s="49"/>
      <c r="L8" s="49"/>
    </row>
    <row r="9" spans="2:12" s="36" customFormat="1" ht="24.95" customHeight="1" x14ac:dyDescent="0.3">
      <c r="B9" s="41"/>
      <c r="C9" s="42"/>
      <c r="D9" s="42"/>
      <c r="E9" s="42"/>
      <c r="F9" s="42"/>
      <c r="G9" s="42"/>
      <c r="H9" s="42"/>
      <c r="I9" s="42"/>
      <c r="J9" s="42"/>
      <c r="K9" s="49"/>
      <c r="L9" s="49"/>
    </row>
    <row r="10" spans="2:12" s="36" customFormat="1" ht="24.95" customHeight="1" x14ac:dyDescent="0.3">
      <c r="B10" s="41"/>
      <c r="C10" s="42"/>
      <c r="D10" s="42"/>
      <c r="E10" s="42"/>
      <c r="F10" s="42"/>
      <c r="G10" s="42"/>
      <c r="H10" s="42"/>
      <c r="I10" s="42"/>
      <c r="J10" s="42"/>
      <c r="K10" s="49"/>
      <c r="L10" s="49"/>
    </row>
    <row r="11" spans="2:12" s="36" customFormat="1" ht="24.95" customHeight="1" x14ac:dyDescent="0.3">
      <c r="B11" s="123" t="s">
        <v>75</v>
      </c>
      <c r="C11" s="43">
        <f>C7</f>
        <v>69.5</v>
      </c>
      <c r="D11" s="43">
        <f t="shared" ref="D11:J11" si="0">D7</f>
        <v>12.5</v>
      </c>
      <c r="E11" s="43">
        <f t="shared" si="0"/>
        <v>23</v>
      </c>
      <c r="F11" s="43">
        <f t="shared" si="0"/>
        <v>26</v>
      </c>
      <c r="G11" s="43">
        <f t="shared" si="0"/>
        <v>30</v>
      </c>
      <c r="H11" s="43">
        <f t="shared" si="0"/>
        <v>8</v>
      </c>
      <c r="I11" s="43">
        <f t="shared" si="0"/>
        <v>26</v>
      </c>
      <c r="J11" s="43">
        <f t="shared" si="0"/>
        <v>31</v>
      </c>
      <c r="K11" s="52"/>
      <c r="L11" s="52"/>
    </row>
    <row r="12" spans="2:12" s="36" customFormat="1" ht="24.95" customHeight="1" x14ac:dyDescent="0.3">
      <c r="B12" s="41" t="s">
        <v>76</v>
      </c>
      <c r="C12" s="44">
        <v>2000</v>
      </c>
      <c r="D12" s="44">
        <v>2000</v>
      </c>
      <c r="E12" s="44">
        <v>1000</v>
      </c>
      <c r="F12" s="44">
        <v>1150</v>
      </c>
      <c r="G12" s="44">
        <v>1600</v>
      </c>
      <c r="H12" s="44">
        <v>1600</v>
      </c>
      <c r="I12" s="44">
        <v>1350</v>
      </c>
      <c r="J12" s="44">
        <v>2400</v>
      </c>
      <c r="K12" s="53"/>
      <c r="L12" s="53"/>
    </row>
    <row r="13" spans="2:12" s="36" customFormat="1" ht="24.95" customHeight="1" x14ac:dyDescent="0.3">
      <c r="B13" s="41" t="s">
        <v>77</v>
      </c>
      <c r="C13" s="45">
        <f t="shared" ref="C13:J13" si="1">C11/C12</f>
        <v>3.4750000000000003E-2</v>
      </c>
      <c r="D13" s="45">
        <f t="shared" si="1"/>
        <v>6.2500000000000003E-3</v>
      </c>
      <c r="E13" s="45">
        <f t="shared" si="1"/>
        <v>2.3E-2</v>
      </c>
      <c r="F13" s="45">
        <f t="shared" si="1"/>
        <v>2.2608695652173914E-2</v>
      </c>
      <c r="G13" s="45">
        <f t="shared" si="1"/>
        <v>1.8749999999999999E-2</v>
      </c>
      <c r="H13" s="45">
        <f t="shared" si="1"/>
        <v>5.0000000000000001E-3</v>
      </c>
      <c r="I13" s="45">
        <f t="shared" si="1"/>
        <v>1.9259259259259261E-2</v>
      </c>
      <c r="J13" s="45">
        <f t="shared" si="1"/>
        <v>1.2916666666666667E-2</v>
      </c>
      <c r="K13" s="54"/>
      <c r="L13" s="54"/>
    </row>
    <row r="14" spans="2:12" s="36" customFormat="1" ht="24.95" customHeight="1" x14ac:dyDescent="0.3">
      <c r="B14" s="41" t="s">
        <v>78</v>
      </c>
      <c r="C14" s="46">
        <f t="shared" ref="C14:J14" si="2">RANK(C13,$C13:$J13)</f>
        <v>1</v>
      </c>
      <c r="D14" s="46">
        <f t="shared" si="2"/>
        <v>7</v>
      </c>
      <c r="E14" s="46">
        <f t="shared" si="2"/>
        <v>2</v>
      </c>
      <c r="F14" s="46">
        <f t="shared" si="2"/>
        <v>3</v>
      </c>
      <c r="G14" s="46">
        <f t="shared" si="2"/>
        <v>5</v>
      </c>
      <c r="H14" s="46">
        <f t="shared" si="2"/>
        <v>8</v>
      </c>
      <c r="I14" s="46">
        <f t="shared" si="2"/>
        <v>4</v>
      </c>
      <c r="J14" s="46">
        <f t="shared" si="2"/>
        <v>6</v>
      </c>
      <c r="K14" s="55"/>
      <c r="L14" s="56"/>
    </row>
    <row r="15" spans="2:12" ht="17.25" customHeight="1" x14ac:dyDescent="0.3">
      <c r="B15" s="47"/>
      <c r="C15" s="48"/>
      <c r="D15" s="48"/>
      <c r="E15" s="48"/>
      <c r="F15" s="48"/>
      <c r="G15" s="48"/>
      <c r="H15" s="48"/>
      <c r="I15" s="47"/>
      <c r="J15" s="47"/>
      <c r="K15" s="47"/>
    </row>
  </sheetData>
  <mergeCells count="1">
    <mergeCell ref="D2:H2"/>
  </mergeCells>
  <phoneticPr fontId="29" type="noConversion"/>
  <pageMargins left="0.75" right="0.75" top="1" bottom="1" header="0.5" footer="0.5"/>
  <pageSetup paperSize="9" orientation="portrait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25"/>
  <sheetViews>
    <sheetView showZeros="0" workbookViewId="0">
      <pane xSplit="2" ySplit="2" topLeftCell="C3" activePane="bottomRight" state="frozen"/>
      <selection pane="topRight"/>
      <selection pane="bottomLeft"/>
      <selection pane="bottomRight" activeCell="A2" sqref="A2:L24"/>
    </sheetView>
  </sheetViews>
  <sheetFormatPr defaultColWidth="9" defaultRowHeight="17.25" x14ac:dyDescent="0.3"/>
  <cols>
    <col min="1" max="2" width="9.5" style="2" customWidth="1"/>
    <col min="3" max="3" width="10.75" style="2" customWidth="1"/>
    <col min="4" max="4" width="12" style="2" customWidth="1"/>
    <col min="5" max="5" width="10.5" style="2" customWidth="1"/>
    <col min="6" max="6" width="9" style="2"/>
    <col min="7" max="7" width="9.875" style="2" customWidth="1"/>
    <col min="8" max="8" width="10.25" style="2" customWidth="1"/>
    <col min="9" max="9" width="10.75" style="2" customWidth="1"/>
    <col min="10" max="10" width="7.875" style="2" customWidth="1"/>
    <col min="11" max="11" width="9.875" style="2"/>
    <col min="12" max="12" width="4.625" style="2" customWidth="1"/>
    <col min="13" max="13" width="8.25" style="2" customWidth="1"/>
    <col min="14" max="17" width="9" style="2"/>
    <col min="18" max="18" width="10.5" style="2" customWidth="1"/>
    <col min="19" max="19" width="10" style="2" customWidth="1"/>
    <col min="20" max="16384" width="9" style="2"/>
  </cols>
  <sheetData>
    <row r="1" spans="1:21" ht="20.25" x14ac:dyDescent="0.35">
      <c r="A1" s="3"/>
      <c r="B1" s="4">
        <v>1</v>
      </c>
      <c r="C1" s="5" t="s">
        <v>79</v>
      </c>
      <c r="D1" s="124" t="s">
        <v>21</v>
      </c>
      <c r="E1" s="7" t="str">
        <f t="array" ref="E1">IF(SUM((MONTH(记录!A2:A16)=$B$1)*(记录!B2:B16=D1))&gt;0,"找到"&amp;COUNT(I3:I24)&amp;"条记录","没有符合条件的数据")</f>
        <v>找到2条记录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21" s="1" customFormat="1" ht="34.5" x14ac:dyDescent="0.35">
      <c r="A2" s="125" t="s">
        <v>2</v>
      </c>
      <c r="B2" s="126" t="s">
        <v>4</v>
      </c>
      <c r="C2" s="9" t="s">
        <v>5</v>
      </c>
      <c r="D2" s="9" t="s">
        <v>6</v>
      </c>
      <c r="E2" s="9" t="s">
        <v>56</v>
      </c>
      <c r="F2" s="115" t="s">
        <v>57</v>
      </c>
      <c r="G2" s="10" t="s">
        <v>80</v>
      </c>
      <c r="H2" s="10" t="s">
        <v>81</v>
      </c>
      <c r="I2" s="10" t="s">
        <v>82</v>
      </c>
      <c r="J2" s="115" t="s">
        <v>63</v>
      </c>
      <c r="K2" s="115" t="s">
        <v>14</v>
      </c>
      <c r="L2" s="18" t="s">
        <v>15</v>
      </c>
      <c r="M2" s="127" t="s">
        <v>64</v>
      </c>
      <c r="N2" s="19" t="s">
        <v>17</v>
      </c>
      <c r="O2" s="19" t="s">
        <v>18</v>
      </c>
      <c r="P2" s="19" t="s">
        <v>19</v>
      </c>
      <c r="Q2" s="29" t="s">
        <v>20</v>
      </c>
      <c r="U2" s="30" t="s">
        <v>39</v>
      </c>
    </row>
    <row r="3" spans="1:21" ht="18" x14ac:dyDescent="0.35">
      <c r="A3" s="11">
        <v>43221</v>
      </c>
      <c r="B3" s="128" t="str">
        <f t="array" ref="B3">IF(ISERROR(IF(ROW()-6&gt;COUNTIF(记录!$B$2:$B$16,$D$1),"",INDEX(记录!$C$2:$C$16,SMALL(IF($D$1=记录!$B$2:$B$16,ROW(记录!$B$7:$B$16)-6),ROW(1:1))))),"",IF(ROW()-6&gt;COUNTIF(记录!$B$2:$B$16,$D$1),"",INDEX(记录!$C$2:$C$16,SMALL(IF($D$1=记录!$B$2:$B$16,ROW(记录!$B$7:$B$16)-6),ROW(1:1)))))</f>
        <v>张三</v>
      </c>
      <c r="C3" s="11">
        <f t="array" ref="C3">IF(ISERROR(IF(ROW()-6&gt;COUNTIF(记录!$B$2:$B$16,$D$1),"",INDEX(记录!$D$2:$D$16,SMALL(IF($D$1=记录!$B$2:$B$16,ROW(记录!$B$7:$B$16)-6),ROW(1:1))))),"",IF(ROW()-6&gt;COUNTIF(记录!$B$2:$B$16,$D$1),"",INDEX(记录!$D$2:$D$16,SMALL(IF($D$1=记录!$B$2:$B$16,ROW(记录!$B$7:$B$16)-6),ROW(1:1)))))</f>
        <v>39084</v>
      </c>
      <c r="D3" s="128" t="str">
        <f t="array" ref="D3">IF(ISERROR(IF(ROW()-6&gt;COUNTIF(记录!$B$2:$B$16,$D$1),"",INDEX(记录!$E$2:$E$16,SMALL(IF($D$1=记录!$B$2:$B$16,ROW(记录!$B$7:$B$16)-6),ROW(1:1))))),"",IF(ROW()-6&gt;COUNTIF(记录!$B$2:$B$16,$D$1),"",INDEX(记录!$E$2:$E$16,SMALL(IF($D$1=记录!$B$2:$B$16,ROW(记录!$B$7:$B$16)-6),ROW(1:1)))))</f>
        <v>07-01-02</v>
      </c>
      <c r="E3" s="11" t="str">
        <f t="array" ref="E3">IF(ISERROR(IF(ROW()-6&gt;COUNTIF(记录!$B$2:$B$16,$D$1),"",INDEX(记录!$F$2:$F$16,SMALL(IF($D$1=记录!$B$2:$B$16,ROW(记录!$B$7:$B$16)-6),ROW(1:1))))),"",IF(ROW()-6&gt;COUNTIF(记录!$B$2:$B$16,$D$1),"",INDEX(记录!$F$2:$F$16,SMALL(IF($D$1=记录!$B$2:$B$16,ROW(记录!$B$7:$B$16)-6),ROW(1:1)))))</f>
        <v>01-102</v>
      </c>
      <c r="F3" s="12">
        <f t="array" ref="F3">IF(ISERROR(IF(ROW()-6&gt;COUNTIF(记录!$B$2:$B$16,$D$1),"",INDEX(记录!$G$2:$G$16,SMALL(IF($D$1=记录!$B$2:$B$16,ROW(记录!$B$7:$B$16)-6),ROW(1:1))))),"",IF(ROW()-6&gt;COUNTIF(记录!$B$2:$B$16,$D$1),"",INDEX(记录!$G$2:$G$16,SMALL(IF($D$1=记录!$B$2:$B$16,ROW(记录!$B$7:$B$16)-6),ROW(1:1)))))</f>
        <v>2000</v>
      </c>
      <c r="G3" s="13">
        <f>SUMPRODUCT((记录!$B$2:$B$16=$D$1)*(记录!$E$2:$E$16=$D3)*记录!$H$2:$H$16)</f>
        <v>15000</v>
      </c>
      <c r="H3" s="13">
        <f>SUMPRODUCT((记录!$B$2:$B$16=$D$1)*(记录!$E$2:$E$16=$D3)*记录!$J$2:$J$16)</f>
        <v>11500</v>
      </c>
      <c r="I3" s="20">
        <f>F3+G3-H3</f>
        <v>5500</v>
      </c>
      <c r="J3" s="21">
        <f t="array" ref="J3">IF(ISERROR(IF(ROW()-6&gt;COUNTIF(记录!$B$2:$B$16,$D$1),"",INDEX(记录!$L$2:$L$16,SMALL(IF($D$1=记录!$B$2:$B$16,ROW(记录!$B$7:$B$16)-6),ROW(1:1))))),"",IF(ROW()-6&gt;COUNTIF(记录!$B$2:$B$16,$D$1),"",INDEX(记录!$L$2:$L$16,SMALL(IF($D$1=记录!$B$2:$B$16,ROW(记录!$B$7:$B$16)-6),ROW(1:1)))))</f>
        <v>60</v>
      </c>
      <c r="K3" s="11">
        <v>43250</v>
      </c>
      <c r="L3" s="11" t="str">
        <f t="array" aca="1" ref="L3" ca="1">IF(ISERROR(IF(ROW()-6&gt;COUNTIF(记录!$B$2:$B$16,$D$1),"",INDEX(记录!$N$2:$N$16,SMALL(IF($D$1=记录!$B$2:$B$16,ROW(记录!$B$7:$B$16)-6),ROW(1:1))))),"",IF(ROW()-6&gt;COUNTIF(记录!$B$2:$B$16,$D$1),"",INDEX(记录!$N$2:$N$16,SMALL(IF($D$1=记录!$B$2:$B$16,ROW(记录!$B$7:$B$16)-6),ROW(1:1)))))</f>
        <v>是</v>
      </c>
      <c r="M3" s="22">
        <f ca="1">SUMPRODUCT((记录!$B$2:$B$16=$D$1)*(记录!$E$2:$E$16=$D3)*记录!$O$2:$O$16)</f>
        <v>0</v>
      </c>
      <c r="N3" s="23">
        <f ca="1">SUMPRODUCT((记录!$B$2:$B$16=$D$1)*(记录!$E$2:$E$16=$D3)*记录!$P$2:$P$16)</f>
        <v>0</v>
      </c>
      <c r="O3" s="23">
        <f ca="1">SUMPRODUCT((记录!$B$2:$B$16=$D$1)*(记录!$E$2:$E$16=$D3)*记录!$Q$2:$Q$16)</f>
        <v>0</v>
      </c>
      <c r="P3" s="23">
        <f ca="1">SUMPRODUCT((记录!$B$2:$B$16=$D$1)*(记录!$E$2:$E$16=$D3)*记录!$R$2:$R$16)</f>
        <v>0</v>
      </c>
      <c r="Q3" s="31">
        <f ca="1">SUMPRODUCT((记录!$B$2:$B$16=$D$1)*(记录!$E$2:$E$16=$D3)*记录!$S$2:$S$16)</f>
        <v>5500</v>
      </c>
      <c r="R3" s="32"/>
      <c r="S3" s="28"/>
      <c r="U3" s="33" t="s">
        <v>51</v>
      </c>
    </row>
    <row r="4" spans="1:21" ht="18" x14ac:dyDescent="0.35">
      <c r="A4" s="11">
        <v>43222</v>
      </c>
      <c r="B4" s="14" t="str">
        <f t="array" ref="B4">IF(ISERROR(IF(ROW()-6&gt;COUNTIF(记录!$B$2:$B$16,$D$1),"",INDEX(记录!$C$2:$C$16,SMALL(IF($D$1=记录!$B$2:$B$16,ROW(记录!$B$7:$B$16)-6),ROW(2:2))))),"",IF(ROW()-6&gt;COUNTIF(记录!$B$2:$B$16,$D$1),"",INDEX(记录!$C$2:$C$16,SMALL(IF($D$1=记录!$B$2:$B$16,ROW(记录!$B$7:$B$16)-6),ROW(2:2)))))</f>
        <v>木六</v>
      </c>
      <c r="C4" s="11">
        <f t="array" ref="C4">IF(ISERROR(IF(ROW()-6&gt;COUNTIF(记录!$B$2:$B$16,$D$1),"",INDEX(记录!$D$2:$D$16,SMALL(IF($D$1=记录!$B$2:$B$16,ROW(记录!$B$7:$B$16)-6),ROW(2:2))))),"",IF(ROW()-6&gt;COUNTIF(记录!$B$2:$B$16,$D$1),"",INDEX(记录!$D$2:$D$16,SMALL(IF($D$1=记录!$B$2:$B$16,ROW(记录!$B$7:$B$16)-6),ROW(2:2)))))</f>
        <v>39113</v>
      </c>
      <c r="D4" s="120" t="str">
        <f t="array" ref="D4">IF(ISERROR(IF(ROW()-6&gt;COUNTIF(记录!$B$2:$B$16,$D$1),"",INDEX(记录!$E$2:$E$16,SMALL(IF($D$1=记录!$B$2:$B$16,ROW(记录!$B$7:$B$16)-6),ROW(2:2))))),"",IF(ROW()-6&gt;COUNTIF(记录!$B$2:$B$16,$D$1),"",INDEX(记录!$E$2:$E$16,SMALL(IF($D$1=记录!$B$2:$B$16,ROW(记录!$B$7:$B$16)-6),ROW(2:2)))))</f>
        <v>07-01-30</v>
      </c>
      <c r="E4" s="14" t="str">
        <f t="array" ref="E4">IF(ISERROR(IF(ROW()-6&gt;COUNTIF(记录!$B$2:$B$16,$D$1),"",INDEX(记录!$F$2:$F$16,SMALL(IF($D$1=记录!$B$2:$B$16,ROW(记录!$B$7:$B$16)-6),ROW(2:2))))),"",IF(ROW()-6&gt;COUNTIF(记录!$B$2:$B$16,$D$1),"",INDEX(记录!$F$2:$F$16,SMALL(IF($D$1=记录!$B$2:$B$16,ROW(记录!$B$7:$B$16)-6),ROW(2:2)))))</f>
        <v>01-104</v>
      </c>
      <c r="F4" s="15">
        <f t="array" ref="F4">IF(ISERROR(IF(ROW()-6&gt;COUNTIF(记录!$B$2:$B$16,$D$1),"",INDEX(记录!$G$2:$G$16,SMALL(IF($D$1=记录!$B$2:$B$16,ROW(记录!$B$7:$B$16)-6),ROW(2:2))))),"",IF(ROW()-6&gt;COUNTIF(记录!$B$2:$B$16,$D$1),"",INDEX(记录!$G$2:$G$16,SMALL(IF($D$1=记录!$B$2:$B$16,ROW(记录!$B$7:$B$16)-6),ROW(2:2)))))</f>
        <v>2000</v>
      </c>
      <c r="G4" s="16">
        <f>SUMPRODUCT((记录!$B$2:$B$16=$D$1)*(记录!$E$2:$E$16=$D4)*记录!$H$2:$H$16)</f>
        <v>28000</v>
      </c>
      <c r="H4" s="16">
        <f>SUMPRODUCT((记录!$B$2:$B$16=$D$1)*(记录!$E$2:$E$16=$D4)*记录!$J$2:$J$16)</f>
        <v>26000</v>
      </c>
      <c r="I4" s="24">
        <f>F4+G4-H4</f>
        <v>4000</v>
      </c>
      <c r="J4" s="25">
        <f t="array" ref="J4">IF(ISERROR(IF(ROW()-6&gt;COUNTIF(记录!$B$2:$B$16,$D$1),"",INDEX(记录!$L$2:$L$16,SMALL(IF($D$1=记录!$B$2:$B$16,ROW(记录!$B$7:$B$16)-6),ROW(2:2))))),"",IF(ROW()-6&gt;COUNTIF(记录!$B$2:$B$16,$D$1),"",INDEX(记录!$L$2:$L$16,SMALL(IF($D$1=记录!$B$2:$B$16,ROW(记录!$B$7:$B$16)-6),ROW(2:2)))))</f>
        <v>360</v>
      </c>
      <c r="K4" s="14" t="str">
        <f>IF(ISERROR(IF(ROW()-6&gt;COUNTIF(记录!$B$2:$B$16,$D$1),"",INDEX(记录!$M$2:$M$16,SMALL(IF($D$1=记录!$B$2:$B$16,ROW(记录!$B$7:$B$16)-6),ROW(2:2))))),"",IF(ROW()-6&gt;COUNTIF(记录!$B$2:$B$16,$D$1),"",INDEX(记录!$M$2:$M$16,SMALL(IF($D$1=记录!$B$2:$B$16,ROW(记录!$B$7:$B$16)-6),ROW(2:2)))))</f>
        <v/>
      </c>
      <c r="L4" s="14" t="str">
        <f t="array" aca="1" ref="L4" ca="1">IF(ISERROR(IF(ROW()-6&gt;COUNTIF(记录!$B$2:$B$16,$D$1),"",INDEX(记录!$N$2:$N$16,SMALL(IF($D$1=记录!$B$2:$B$16,ROW(记录!$B$7:$B$16)-6),ROW(2:2))))),"",IF(ROW()-6&gt;COUNTIF(记录!$B$2:$B$16,$D$1),"",INDEX(记录!$N$2:$N$16,SMALL(IF($D$1=记录!$B$2:$B$16,ROW(记录!$B$7:$B$16)-6),ROW(2:2)))))</f>
        <v>是</v>
      </c>
      <c r="M4" s="26">
        <f ca="1">SUMPRODUCT((记录!$B$2:$B$16=$D$1)*(记录!$E$2:$E$16=$D4)*记录!$O$2:$O$16)</f>
        <v>0</v>
      </c>
      <c r="N4" s="27">
        <f ca="1">SUMPRODUCT((记录!$B$2:$B$16=$D$1)*(记录!$E$2:$E$16=$D4)*记录!$P$2:$P$16)</f>
        <v>0</v>
      </c>
      <c r="O4" s="27">
        <f ca="1">SUMPRODUCT((记录!$B$2:$B$16=$D$1)*(记录!$E$2:$E$16=$D4)*记录!$Q$2:$Q$16)</f>
        <v>0</v>
      </c>
      <c r="P4" s="27">
        <f ca="1">SUMPRODUCT((记录!$B$2:$B$16=$D$1)*(记录!$E$2:$E$16=$D4)*记录!$R$2:$R$16)</f>
        <v>0</v>
      </c>
      <c r="Q4" s="34">
        <f ca="1">SUMPRODUCT((记录!$B$2:$B$16=$D$1)*(记录!$E$2:$E$16=$D4)*记录!$S$2:$S$16)</f>
        <v>4000</v>
      </c>
      <c r="R4" s="32"/>
      <c r="S4" s="28"/>
      <c r="U4" s="33" t="s">
        <v>83</v>
      </c>
    </row>
    <row r="5" spans="1:21" ht="18" x14ac:dyDescent="0.35">
      <c r="A5" s="14" t="str">
        <f t="array" ref="A5">IF(ISERROR(IF(ROW()-6&gt;COUNTIF(记录!$B$2:$B$16,$D$1),"",INDEX(记录!$A$2:$A$16,SMALL(IF($D$1=记录!$B$2:$B$16,ROW(记录!$B$7:$B$16)-6),ROW(3:3))))),"",IF(ROW()-6&gt;COUNTIF(记录!$B$2:$B$16,$D$1),"",INDEX(记录!$A$2:$A$16,SMALL(IF($D$1=记录!$B$2:$B$16,ROW(记录!$B$7:$B$16)-6),ROW(3:3)))))</f>
        <v/>
      </c>
      <c r="B5" s="14" t="str">
        <f t="array" ref="B5">IF(ISERROR(IF(ROW()-6&gt;COUNTIF(记录!$B$2:$B$16,$D$1),"",INDEX(记录!$C$2:$C$16,SMALL(IF($D$1=记录!$B$2:$B$16,ROW(记录!$B$7:$B$16)-6),ROW(3:3))))),"",IF(ROW()-6&gt;COUNTIF(记录!$B$2:$B$16,$D$1),"",INDEX(记录!$C$2:$C$16,SMALL(IF($D$1=记录!$B$2:$B$16,ROW(记录!$B$7:$B$16)-6),ROW(3:3)))))</f>
        <v/>
      </c>
      <c r="C5" s="11" t="str">
        <f t="array" ref="C5">IF(ISERROR(IF(ROW()-6&gt;COUNTIF(记录!$B$2:$B$16,$D$1),"",INDEX(记录!$D$2:$D$16,SMALL(IF($D$1=记录!$B$2:$B$16,ROW(记录!$B$7:$B$16)-6),ROW(3:3))))),"",IF(ROW()-6&gt;COUNTIF(记录!$B$2:$B$16,$D$1),"",INDEX(记录!$D$2:$D$16,SMALL(IF($D$1=记录!$B$2:$B$16,ROW(记录!$B$7:$B$16)-6),ROW(3:3)))))</f>
        <v/>
      </c>
      <c r="D5" s="14" t="str">
        <f t="array" ref="D5">IF(ISERROR(IF(ROW()-6&gt;COUNTIF(记录!$B$2:$B$16,$D$1),"",INDEX(记录!$E$2:$E$16,SMALL(IF($D$1=记录!$B$2:$B$16,ROW(记录!$B$7:$B$16)-6),ROW(3:3))))),"",IF(ROW()-6&gt;COUNTIF(记录!$B$2:$B$16,$D$1),"",INDEX(记录!$E$2:$E$16,SMALL(IF($D$1=记录!$B$2:$B$16,ROW(记录!$B$7:$B$16)-6),ROW(3:3)))))</f>
        <v/>
      </c>
      <c r="E5" s="14" t="str">
        <f t="array" ref="E5">IF(ISERROR(IF(ROW()-6&gt;COUNTIF(记录!$B$2:$B$16,$D$1),"",INDEX(记录!$F$2:$F$16,SMALL(IF($D$1=记录!$B$2:$B$16,ROW(记录!$B$7:$B$16)-6),ROW(3:3))))),"",IF(ROW()-6&gt;COUNTIF(记录!$B$2:$B$16,$D$1),"",INDEX(记录!$F$2:$F$16,SMALL(IF($D$1=记录!$B$2:$B$16,ROW(记录!$B$7:$B$16)-6),ROW(3:3)))))</f>
        <v/>
      </c>
      <c r="F5" s="15" t="str">
        <f t="array" ref="F5">IF(ISERROR(IF(ROW()-6&gt;COUNTIF(记录!$B$2:$B$16,$D$1),"",INDEX(记录!$G$2:$G$16,SMALL(IF($D$1=记录!$B$2:$B$16,ROW(记录!$B$7:$B$16)-6),ROW(3:3))))),"",IF(ROW()-6&gt;COUNTIF(记录!$B$2:$B$16,$D$1),"",INDEX(记录!$G$2:$G$16,SMALL(IF($D$1=记录!$B$2:$B$16,ROW(记录!$B$7:$B$16)-6),ROW(3:3)))))</f>
        <v/>
      </c>
      <c r="G5" s="16">
        <f>SUMPRODUCT((记录!$B$2:$B$16=$D$1)*(记录!$E$2:$E$16=$D5)*记录!$H$2:$H$16)</f>
        <v>0</v>
      </c>
      <c r="H5" s="16">
        <f>SUMPRODUCT((记录!$B$2:$B$16=$D$1)*(记录!$E$2:$E$16=$D5)*记录!$J$2:$J$16)</f>
        <v>0</v>
      </c>
      <c r="I5" s="24" t="e">
        <f>F5+G5-H5</f>
        <v>#VALUE!</v>
      </c>
      <c r="J5" s="25" t="str">
        <f t="array" ref="J5">IF(ISERROR(IF(ROW()-6&gt;COUNTIF(记录!$B$2:$B$16,$D$1),"",INDEX(记录!$L$2:$L$16,SMALL(IF($D$1=记录!$B$2:$B$16,ROW(记录!$B$7:$B$16)-6),ROW(3:3))))),"",IF(ROW()-6&gt;COUNTIF(记录!$B$2:$B$16,$D$1),"",INDEX(记录!$L$2:$L$16,SMALL(IF($D$1=记录!$B$2:$B$16,ROW(记录!$B$7:$B$16)-6),ROW(3:3)))))</f>
        <v/>
      </c>
      <c r="K5" s="14" t="str">
        <f t="array" ref="K5">IF(ISERROR(IF(ROW()-6&gt;COUNTIF(记录!$B$2:$B$16,$D$1),"",INDEX(记录!$M$2:$M$16,SMALL(IF($D$1=记录!$B$2:$B$16,ROW(记录!$B$7:$B$16)-6),ROW(3:3))))),"",IF(ROW()-6&gt;COUNTIF(记录!$B$2:$B$16,$D$1),"",INDEX(记录!$M$2:$M$16,SMALL(IF($D$1=记录!$B$2:$B$16,ROW(记录!$B$7:$B$16)-6),ROW(3:3)))))</f>
        <v/>
      </c>
      <c r="L5" s="14" t="str">
        <f t="array" ref="L5">IF(ISERROR(IF(ROW()-6&gt;COUNTIF(记录!$B$2:$B$16,$D$1),"",INDEX(记录!$N$2:$N$16,SMALL(IF($D$1=记录!$B$2:$B$16,ROW(记录!$B$7:$B$16)-6),ROW(3:3))))),"",IF(ROW()-6&gt;COUNTIF(记录!$B$2:$B$16,$D$1),"",INDEX(记录!$N$2:$N$16,SMALL(IF($D$1=记录!$B$2:$B$16,ROW(记录!$B$7:$B$16)-6),ROW(3:3)))))</f>
        <v/>
      </c>
      <c r="M5" s="26">
        <f ca="1">SUMPRODUCT((记录!$B$2:$B$16=$D$1)*(记录!$E$2:$E$16=$D5)*记录!$O$2:$O$16)</f>
        <v>0</v>
      </c>
      <c r="N5" s="27">
        <f ca="1">SUMPRODUCT((记录!$B$2:$B$16=$D$1)*(记录!$E$2:$E$16=$D5)*记录!$P$2:$P$16)</f>
        <v>0</v>
      </c>
      <c r="O5" s="27">
        <f ca="1">SUMPRODUCT((记录!$B$2:$B$16=$D$1)*(记录!$E$2:$E$16=$D5)*记录!$Q$2:$Q$16)</f>
        <v>0</v>
      </c>
      <c r="P5" s="27">
        <f ca="1">SUMPRODUCT((记录!$B$2:$B$16=$D$1)*(记录!$E$2:$E$16=$D5)*记录!$R$2:$R$16)</f>
        <v>0</v>
      </c>
      <c r="Q5" s="34">
        <f ca="1">SUMPRODUCT((记录!$B$2:$B$16=$D$1)*(记录!$E$2:$E$16=$D5)*记录!$S$2:$S$16)</f>
        <v>0</v>
      </c>
      <c r="R5" s="32"/>
      <c r="S5" s="28"/>
      <c r="U5" s="33" t="s">
        <v>21</v>
      </c>
    </row>
    <row r="6" spans="1:21" ht="18" x14ac:dyDescent="0.35">
      <c r="A6" s="14" t="str">
        <f t="array" ref="A6">IF(ISERROR(IF(ROW()-6&gt;COUNTIF(记录!$B$2:$B$16,$D$1),"",INDEX(记录!$A$2:$A$16,SMALL(IF($D$1=记录!$B$2:$B$16,ROW(记录!$B$7:$B$16)-6),ROW(4:4))))),"",IF(ROW()-6&gt;COUNTIF(记录!$B$2:$B$16,$D$1),"",INDEX(记录!$A$2:$A$16,SMALL(IF($D$1=记录!$B$2:$B$16,ROW(记录!$B$7:$B$16)-6),ROW(4:4)))))</f>
        <v/>
      </c>
      <c r="B6" s="14" t="str">
        <f t="array" ref="B6">IF(ISERROR(IF(ROW()-6&gt;COUNTIF(记录!$B$2:$B$16,$D$1),"",INDEX(记录!$C$2:$C$16,SMALL(IF($D$1=记录!$B$2:$B$16,ROW(记录!$B$7:$B$16)-6),ROW(4:4))))),"",IF(ROW()-6&gt;COUNTIF(记录!$B$2:$B$16,$D$1),"",INDEX(记录!$C$2:$C$16,SMALL(IF($D$1=记录!$B$2:$B$16,ROW(记录!$B$7:$B$16)-6),ROW(4:4)))))</f>
        <v/>
      </c>
      <c r="C6" s="11" t="str">
        <f t="array" ref="C6">IF(ISERROR(IF(ROW()-6&gt;COUNTIF(记录!$B$2:$B$16,$D$1),"",INDEX(记录!$D$2:$D$16,SMALL(IF($D$1=记录!$B$2:$B$16,ROW(记录!$B$7:$B$16)-6),ROW(4:4))))),"",IF(ROW()-6&gt;COUNTIF(记录!$B$2:$B$16,$D$1),"",INDEX(记录!$D$2:$D$16,SMALL(IF($D$1=记录!$B$2:$B$16,ROW(记录!$B$7:$B$16)-6),ROW(4:4)))))</f>
        <v/>
      </c>
      <c r="D6" s="14" t="str">
        <f t="array" ref="D6">IF(ISERROR(IF(ROW()-6&gt;COUNTIF(记录!$B$2:$B$16,$D$1),"",INDEX(记录!$E$2:$E$16,SMALL(IF($D$1=记录!$B$2:$B$16,ROW(记录!$B$7:$B$16)-6),ROW(4:4))))),"",IF(ROW()-6&gt;COUNTIF(记录!$B$2:$B$16,$D$1),"",INDEX(记录!$E$2:$E$16,SMALL(IF($D$1=记录!$B$2:$B$16,ROW(记录!$B$7:$B$16)-6),ROW(4:4)))))</f>
        <v/>
      </c>
      <c r="E6" s="14" t="str">
        <f t="array" ref="E6">IF(ISERROR(IF(ROW()-6&gt;COUNTIF(记录!$B$2:$B$16,$D$1),"",INDEX(记录!$F$2:$F$16,SMALL(IF($D$1=记录!$B$2:$B$16,ROW(记录!$B$7:$B$16)-6),ROW(4:4))))),"",IF(ROW()-6&gt;COUNTIF(记录!$B$2:$B$16,$D$1),"",INDEX(记录!$F$2:$F$16,SMALL(IF($D$1=记录!$B$2:$B$16,ROW(记录!$B$7:$B$16)-6),ROW(4:4)))))</f>
        <v/>
      </c>
      <c r="F6" s="15" t="str">
        <f t="array" ref="F6">IF(ISERROR(IF(ROW()-6&gt;COUNTIF(记录!$B$2:$B$16,$D$1),"",INDEX(记录!$G$2:$G$16,SMALL(IF($D$1=记录!$B$2:$B$16,ROW(记录!$B$7:$B$16)-6),ROW(4:4))))),"",IF(ROW()-6&gt;COUNTIF(记录!$B$2:$B$16,$D$1),"",INDEX(记录!$G$2:$G$16,SMALL(IF($D$1=记录!$B$2:$B$16,ROW(记录!$B$7:$B$16)-6),ROW(4:4)))))</f>
        <v/>
      </c>
      <c r="G6" s="16">
        <f>SUMPRODUCT((记录!$B$2:$B$16=$D$1)*(记录!$E$2:$E$16=$D6)*记录!$H$2:$H$16)</f>
        <v>0</v>
      </c>
      <c r="H6" s="16">
        <f>SUMPRODUCT((记录!$B$2:$B$16=$D$1)*(记录!$E$2:$E$16=$D6)*记录!$J$2:$J$16)</f>
        <v>0</v>
      </c>
      <c r="I6" s="24" t="e">
        <f>F6+G6-H6</f>
        <v>#VALUE!</v>
      </c>
      <c r="J6" s="25" t="str">
        <f t="array" ref="J6">IF(ISERROR(IF(ROW()-6&gt;COUNTIF(记录!$B$2:$B$16,$D$1),"",INDEX(记录!$L$2:$L$16,SMALL(IF($D$1=记录!$B$2:$B$16,ROW(记录!$B$7:$B$16)-6),ROW(4:4))))),"",IF(ROW()-6&gt;COUNTIF(记录!$B$2:$B$16,$D$1),"",INDEX(记录!$L$2:$L$16,SMALL(IF($D$1=记录!$B$2:$B$16,ROW(记录!$B$7:$B$16)-6),ROW(4:4)))))</f>
        <v/>
      </c>
      <c r="K6" s="14" t="str">
        <f t="array" ref="K6">IF(ISERROR(IF(ROW()-6&gt;COUNTIF(记录!$B$2:$B$16,$D$1),"",INDEX(记录!$M$2:$M$16,SMALL(IF($D$1=记录!$B$2:$B$16,ROW(记录!$B$7:$B$16)-6),ROW(4:4))))),"",IF(ROW()-6&gt;COUNTIF(记录!$B$2:$B$16,$D$1),"",INDEX(记录!$M$2:$M$16,SMALL(IF($D$1=记录!$B$2:$B$16,ROW(记录!$B$7:$B$16)-6),ROW(4:4)))))</f>
        <v/>
      </c>
      <c r="L6" s="14" t="str">
        <f t="array" ref="L6">IF(ISERROR(IF(ROW()-6&gt;COUNTIF(记录!$B$2:$B$16,$D$1),"",INDEX(记录!$N$2:$N$16,SMALL(IF($D$1=记录!$B$2:$B$16,ROW(记录!$B$7:$B$16)-6),ROW(4:4))))),"",IF(ROW()-6&gt;COUNTIF(记录!$B$2:$B$16,$D$1),"",INDEX(记录!$N$2:$N$16,SMALL(IF($D$1=记录!$B$2:$B$16,ROW(记录!$B$7:$B$16)-6),ROW(4:4)))))</f>
        <v/>
      </c>
      <c r="M6" s="26">
        <f ca="1">SUMPRODUCT((记录!$B$2:$B$16=$D$1)*(记录!$E$2:$E$16=$D6)*记录!$O$2:$O$16)</f>
        <v>0</v>
      </c>
      <c r="N6" s="27">
        <f ca="1">SUMPRODUCT((记录!$B$2:$B$16=$D$1)*(记录!$E$2:$E$16=$D6)*记录!$P$2:$P$16)</f>
        <v>0</v>
      </c>
      <c r="O6" s="27">
        <f ca="1">SUMPRODUCT((记录!$B$2:$B$16=$D$1)*(记录!$E$2:$E$16=$D6)*记录!$Q$2:$Q$16)</f>
        <v>0</v>
      </c>
      <c r="P6" s="27">
        <f ca="1">SUMPRODUCT((记录!$B$2:$B$16=$D$1)*(记录!$E$2:$E$16=$D6)*记录!$R$2:$R$16)</f>
        <v>0</v>
      </c>
      <c r="Q6" s="34">
        <f ca="1">SUMPRODUCT((记录!$B$2:$B$16=$D$1)*(记录!$E$2:$E$16=$D6)*记录!$S$2:$S$16)</f>
        <v>0</v>
      </c>
      <c r="R6" s="32"/>
      <c r="S6" s="28"/>
      <c r="U6" s="35" t="s">
        <v>84</v>
      </c>
    </row>
    <row r="7" spans="1:21" ht="18" x14ac:dyDescent="0.35">
      <c r="A7" s="14" t="str">
        <f t="array" ref="A7">IF(ISERROR(IF(ROW()-6&gt;COUNTIF(记录!$B$2:$B$16,$D$1),"",INDEX(记录!$A$2:$A$16,SMALL(IF($D$1=记录!$B$2:$B$16,ROW(记录!$B$7:$B$16)-6),ROW(5:5))))),"",IF(ROW()-6&gt;COUNTIF(记录!$B$2:$B$16,$D$1),"",INDEX(记录!$A$2:$A$16,SMALL(IF($D$1=记录!$B$2:$B$16,ROW(记录!$B$7:$B$16)-6),ROW(5:5)))))</f>
        <v/>
      </c>
      <c r="B7" s="14" t="str">
        <f t="array" ref="B7">IF(ISERROR(IF(ROW()-6&gt;COUNTIF(记录!$B$2:$B$16,$D$1),"",INDEX(记录!$C$2:$C$16,SMALL(IF($D$1=记录!$B$2:$B$16,ROW(记录!$B$7:$B$16)-6),ROW(5:5))))),"",IF(ROW()-6&gt;COUNTIF(记录!$B$2:$B$16,$D$1),"",INDEX(记录!$C$2:$C$16,SMALL(IF($D$1=记录!$B$2:$B$16,ROW(记录!$B$7:$B$16)-6),ROW(5:5)))))</f>
        <v/>
      </c>
      <c r="C7" s="11" t="str">
        <f t="array" ref="C7">IF(ISERROR(IF(ROW()-6&gt;COUNTIF(记录!$B$2:$B$16,$D$1),"",INDEX(记录!$D$2:$D$16,SMALL(IF($D$1=记录!$B$2:$B$16,ROW(记录!$B$7:$B$16)-6),ROW(5:5))))),"",IF(ROW()-6&gt;COUNTIF(记录!$B$2:$B$16,$D$1),"",INDEX(记录!$D$2:$D$16,SMALL(IF($D$1=记录!$B$2:$B$16,ROW(记录!$B$7:$B$16)-6),ROW(5:5)))))</f>
        <v/>
      </c>
      <c r="D7" s="14" t="str">
        <f t="array" ref="D7">IF(ISERROR(IF(ROW()-6&gt;COUNTIF(记录!$B$2:$B$16,$D$1),"",INDEX(记录!$E$2:$E$16,SMALL(IF($D$1=记录!$B$2:$B$16,ROW(记录!$B$7:$B$16)-6),ROW(5:5))))),"",IF(ROW()-6&gt;COUNTIF(记录!$B$2:$B$16,$D$1),"",INDEX(记录!$E$2:$E$16,SMALL(IF($D$1=记录!$B$2:$B$16,ROW(记录!$B$7:$B$16)-6),ROW(5:5)))))</f>
        <v/>
      </c>
      <c r="E7" s="14" t="str">
        <f t="array" ref="E7">IF(ISERROR(IF(ROW()-6&gt;COUNTIF(记录!$B$2:$B$16,$D$1),"",INDEX(记录!$F$2:$F$16,SMALL(IF($D$1=记录!$B$2:$B$16,ROW(记录!$B$7:$B$16)-6),ROW(5:5))))),"",IF(ROW()-6&gt;COUNTIF(记录!$B$2:$B$16,$D$1),"",INDEX(记录!$F$2:$F$16,SMALL(IF($D$1=记录!$B$2:$B$16,ROW(记录!$B$7:$B$16)-6),ROW(5:5)))))</f>
        <v/>
      </c>
      <c r="F7" s="17" t="str">
        <f t="array" ref="F7">IF(ISERROR(IF(ROW()-6&gt;COUNTIF(记录!$B$2:$B$16,$D$1),"",INDEX(记录!$G$2:$G$16,SMALL(IF($D$1=记录!$B$2:$B$16,ROW(记录!$B$7:$B$16)-6),ROW(5:5))))),"",IF(ROW()-6&gt;COUNTIF(记录!$B$2:$B$16,$D$1),"",INDEX(记录!$G$2:$G$16,SMALL(IF($D$1=记录!$B$2:$B$16,ROW(记录!$B$7:$B$16)-6),ROW(5:5)))))</f>
        <v/>
      </c>
      <c r="G7" s="16">
        <f>SUMPRODUCT((记录!$B$2:$B$16=$D$1)*(记录!$E$2:$E$16=$D7)*记录!$H$2:$H$16)</f>
        <v>0</v>
      </c>
      <c r="H7" s="16">
        <f>SUMPRODUCT((记录!$B$2:$B$16=$D$1)*(记录!$E$2:$E$16=$D7)*记录!$J$2:$J$16)</f>
        <v>0</v>
      </c>
      <c r="I7" s="24" t="e">
        <f>F7+G7-H7</f>
        <v>#VALUE!</v>
      </c>
      <c r="J7" s="25" t="str">
        <f t="array" ref="J7">IF(ISERROR(IF(ROW()-6&gt;COUNTIF(记录!$B$2:$B$16,$D$1),"",INDEX(记录!$L$2:$L$16,SMALL(IF($D$1=记录!$B$2:$B$16,ROW(记录!$B$7:$B$16)-6),ROW(5:5))))),"",IF(ROW()-6&gt;COUNTIF(记录!$B$2:$B$16,$D$1),"",INDEX(记录!$L$2:$L$16,SMALL(IF($D$1=记录!$B$2:$B$16,ROW(记录!$B$7:$B$16)-6),ROW(5:5)))))</f>
        <v/>
      </c>
      <c r="K7" s="14" t="str">
        <f t="array" ref="K7">IF(ISERROR(IF(ROW()-6&gt;COUNTIF(记录!$B$2:$B$16,$D$1),"",INDEX(记录!$M$2:$M$16,SMALL(IF($D$1=记录!$B$2:$B$16,ROW(记录!$B$7:$B$16)-6),ROW(5:5))))),"",IF(ROW()-6&gt;COUNTIF(记录!$B$2:$B$16,$D$1),"",INDEX(记录!$M$2:$M$16,SMALL(IF($D$1=记录!$B$2:$B$16,ROW(记录!$B$7:$B$16)-6),ROW(5:5)))))</f>
        <v/>
      </c>
      <c r="L7" s="14" t="str">
        <f t="array" ref="L7">IF(ISERROR(IF(ROW()-6&gt;COUNTIF(记录!$B$2:$B$16,$D$1),"",INDEX(记录!$N$2:$N$16,SMALL(IF($D$1=记录!$B$2:$B$16,ROW(记录!$B$7:$B$16)-6),ROW(5:5))))),"",IF(ROW()-6&gt;COUNTIF(记录!$B$2:$B$16,$D$1),"",INDEX(记录!$N$2:$N$16,SMALL(IF($D$1=记录!$B$2:$B$16,ROW(记录!$B$7:$B$16)-6),ROW(5:5)))))</f>
        <v/>
      </c>
      <c r="M7" s="26">
        <f ca="1">SUMPRODUCT((记录!$B$2:$B$16=$D$1)*(记录!$E$2:$E$16=$D7)*记录!$O$2:$O$16)</f>
        <v>0</v>
      </c>
      <c r="N7" s="27">
        <f ca="1">SUMPRODUCT((记录!$B$2:$B$16=$D$1)*(记录!$E$2:$E$16=$D7)*记录!$P$2:$P$16)</f>
        <v>0</v>
      </c>
      <c r="O7" s="27">
        <f ca="1">SUMPRODUCT((记录!$B$2:$B$16=$D$1)*(记录!$E$2:$E$16=$D7)*记录!$Q$2:$Q$16)</f>
        <v>0</v>
      </c>
      <c r="P7" s="27">
        <f ca="1">SUMPRODUCT((记录!$B$2:$B$16=$D$1)*(记录!$E$2:$E$16=$D7)*记录!$R$2:$R$16)</f>
        <v>0</v>
      </c>
      <c r="Q7" s="34">
        <f ca="1">SUMPRODUCT((记录!$B$2:$B$16=$D$1)*(记录!$E$2:$E$16=$D7)*记录!$S$2:$S$16)</f>
        <v>0</v>
      </c>
      <c r="R7" s="32"/>
      <c r="S7" s="28"/>
      <c r="U7" s="129" t="s">
        <v>85</v>
      </c>
    </row>
    <row r="8" spans="1:21" ht="18" x14ac:dyDescent="0.35">
      <c r="A8" s="14" t="str">
        <f t="array" ref="A8">IF(ISERROR(IF(ROW()-6&gt;COUNTIF(记录!$B$2:$B$16,$D$1),"",INDEX(记录!$A$2:$A$16,SMALL(IF($D$1=记录!$B$2:$B$16,ROW(记录!$B$7:$B$16)-6),ROW(6:6))))),"",IF(ROW()-6&gt;COUNTIF(记录!$B$2:$B$16,$D$1),"",INDEX(记录!$A$2:$A$16,SMALL(IF($D$1=记录!$B$2:$B$16,ROW(记录!$B$7:$B$16)-6),ROW(6:6)))))</f>
        <v/>
      </c>
      <c r="B8" s="14" t="str">
        <f t="array" ref="B8">IF(ISERROR(IF(ROW()-6&gt;COUNTIF(记录!$B$2:$B$16,$D$1),"",INDEX(记录!$C$2:$C$16,SMALL(IF($D$1=记录!$B$2:$B$16,ROW(记录!$B$7:$B$16)-6),ROW(6:6))))),"",IF(ROW()-6&gt;COUNTIF(记录!$B$2:$B$16,$D$1),"",INDEX(记录!$C$2:$C$16,SMALL(IF($D$1=记录!$B$2:$B$16,ROW(记录!$B$7:$B$16)-6),ROW(6:6)))))</f>
        <v/>
      </c>
      <c r="C8" s="11" t="str">
        <f t="array" ref="C8">IF(ISERROR(IF(ROW()-6&gt;COUNTIF(记录!$B$2:$B$16,$D$1),"",INDEX(记录!$D$2:$D$16,SMALL(IF($D$1=记录!$B$2:$B$16,ROW(记录!$B$7:$B$16)-6),ROW(6:6))))),"",IF(ROW()-6&gt;COUNTIF(记录!$B$2:$B$16,$D$1),"",INDEX(记录!$D$2:$D$16,SMALL(IF($D$1=记录!$B$2:$B$16,ROW(记录!$B$7:$B$16)-6),ROW(6:6)))))</f>
        <v/>
      </c>
      <c r="D8" s="14" t="str">
        <f t="array" ref="D8">IF(ISERROR(IF(ROW()-6&gt;COUNTIF(记录!$B$2:$B$16,$D$1),"",INDEX(记录!$E$2:$E$16,SMALL(IF($D$1=记录!$B$2:$B$16,ROW(记录!$B$7:$B$16)-6),ROW(6:6))))),"",IF(ROW()-6&gt;COUNTIF(记录!$B$2:$B$16,$D$1),"",INDEX(记录!$E$2:$E$16,SMALL(IF($D$1=记录!$B$2:$B$16,ROW(记录!$B$7:$B$16)-6),ROW(6:6)))))</f>
        <v/>
      </c>
      <c r="E8" s="14" t="str">
        <f t="array" ref="E8">IF(ISERROR(IF(ROW()-6&gt;COUNTIF(记录!$B$2:$B$16,$D$1),"",INDEX(记录!$F$2:$F$16,SMALL(IF($D$1=记录!$B$2:$B$16,ROW(记录!$B$7:$B$16)-6),ROW(6:6))))),"",IF(ROW()-6&gt;COUNTIF(记录!$B$2:$B$16,$D$1),"",INDEX(记录!$F$2:$F$16,SMALL(IF($D$1=记录!$B$2:$B$16,ROW(记录!$B$7:$B$16)-6),ROW(6:6)))))</f>
        <v/>
      </c>
      <c r="F8" s="17" t="str">
        <f t="array" ref="F8">IF(ISERROR(IF(ROW()-6&gt;COUNTIF(记录!$B$2:$B$16,$D$1),"",INDEX(记录!$G$2:$G$16,SMALL(IF($D$1=记录!$B$2:$B$16,ROW(记录!$B$7:$B$16)-6),ROW(6:6))))),"",IF(ROW()-6&gt;COUNTIF(记录!$B$2:$B$16,$D$1),"",INDEX(记录!$G$2:$G$16,SMALL(IF($D$1=记录!$B$2:$B$16,ROW(记录!$B$7:$B$16)-6),ROW(6:6)))))</f>
        <v/>
      </c>
      <c r="G8" s="16">
        <f>SUMPRODUCT((记录!$B$2:$B$16=$D$1)*(记录!$E$2:$E$16=$D8)*记录!$H$2:$H$16)</f>
        <v>0</v>
      </c>
      <c r="H8" s="16">
        <f>SUMPRODUCT((记录!$B$2:$B$16=$D$1)*(记录!$E$2:$E$16=$D8)*记录!$J$2:$J$16)</f>
        <v>0</v>
      </c>
      <c r="I8" s="24" t="e">
        <f t="shared" ref="I8:I24" si="0">F8+G8-H8</f>
        <v>#VALUE!</v>
      </c>
      <c r="J8" s="25" t="str">
        <f t="array" ref="J8">IF(ISERROR(IF(ROW()-6&gt;COUNTIF(记录!$B$2:$B$16,$D$1),"",INDEX(记录!$L$2:$L$16,SMALL(IF($D$1=记录!$B$2:$B$16,ROW(记录!$B$7:$B$16)-6),ROW(6:6))))),"",IF(ROW()-6&gt;COUNTIF(记录!$B$2:$B$16,$D$1),"",INDEX(记录!$L$2:$L$16,SMALL(IF($D$1=记录!$B$2:$B$16,ROW(记录!$B$7:$B$16)-6),ROW(6:6)))))</f>
        <v/>
      </c>
      <c r="K8" s="14" t="str">
        <f t="array" ref="K8">IF(ISERROR(IF(ROW()-6&gt;COUNTIF(记录!$B$2:$B$16,$D$1),"",INDEX(记录!$M$2:$M$16,SMALL(IF($D$1=记录!$B$2:$B$16,ROW(记录!$B$7:$B$16)-6),ROW(6:6))))),"",IF(ROW()-6&gt;COUNTIF(记录!$B$2:$B$16,$D$1),"",INDEX(记录!$M$2:$M$16,SMALL(IF($D$1=记录!$B$2:$B$16,ROW(记录!$B$7:$B$16)-6),ROW(6:6)))))</f>
        <v/>
      </c>
      <c r="L8" s="14" t="str">
        <f t="array" ref="L8">IF(ISERROR(IF(ROW()-6&gt;COUNTIF(记录!$B$2:$B$16,$D$1),"",INDEX(记录!$N$2:$N$16,SMALL(IF($D$1=记录!$B$2:$B$16,ROW(记录!$B$7:$B$16)-6),ROW(6:6))))),"",IF(ROW()-6&gt;COUNTIF(记录!$B$2:$B$16,$D$1),"",INDEX(记录!$N$2:$N$16,SMALL(IF($D$1=记录!$B$2:$B$16,ROW(记录!$B$7:$B$16)-6),ROW(6:6)))))</f>
        <v/>
      </c>
      <c r="M8" s="26">
        <f ca="1">SUMPRODUCT((记录!$B$2:$B$16=$D$1)*(记录!$E$2:$E$16=$D8)*记录!$O$2:$O$16)</f>
        <v>0</v>
      </c>
      <c r="N8" s="27">
        <f ca="1">SUMPRODUCT((记录!$B$2:$B$16=$D$1)*(记录!$E$2:$E$16=$D8)*记录!$P$2:$P$16)</f>
        <v>0</v>
      </c>
      <c r="O8" s="27">
        <f ca="1">SUMPRODUCT((记录!$B$2:$B$16=$D$1)*(记录!$E$2:$E$16=$D8)*记录!$Q$2:$Q$16)</f>
        <v>0</v>
      </c>
      <c r="P8" s="27">
        <f ca="1">SUMPRODUCT((记录!$B$2:$B$16=$D$1)*(记录!$E$2:$E$16=$D8)*记录!$R$2:$R$16)</f>
        <v>0</v>
      </c>
      <c r="Q8" s="34">
        <f ca="1">SUMPRODUCT((记录!$B$2:$B$16=$D$1)*(记录!$E$2:$E$16=$D8)*记录!$S$2:$S$16)</f>
        <v>0</v>
      </c>
      <c r="R8" s="32"/>
      <c r="S8" s="28"/>
      <c r="U8" s="129" t="s">
        <v>86</v>
      </c>
    </row>
    <row r="9" spans="1:21" ht="18" x14ac:dyDescent="0.35">
      <c r="A9" s="14" t="str">
        <f t="array" ref="A9">IF(ISERROR(IF(ROW()-6&gt;COUNTIF(记录!$B$2:$B$16,$D$1),"",INDEX(记录!$A$2:$A$16,SMALL(IF($D$1=记录!$B$2:$B$16,ROW(记录!$B$7:$B$16)-6),ROW(7:7))))),"",IF(ROW()-6&gt;COUNTIF(记录!$B$2:$B$16,$D$1),"",INDEX(记录!$A$2:$A$16,SMALL(IF($D$1=记录!$B$2:$B$16,ROW(记录!$B$7:$B$16)-6),ROW(7:7)))))</f>
        <v/>
      </c>
      <c r="B9" s="14" t="str">
        <f t="array" ref="B9">IF(ISERROR(IF(ROW()-6&gt;COUNTIF(记录!$B$2:$B$16,$D$1),"",INDEX(记录!$C$2:$C$16,SMALL(IF($D$1=记录!$B$2:$B$16,ROW(记录!$B$7:$B$16)-6),ROW(7:7))))),"",IF(ROW()-6&gt;COUNTIF(记录!$B$2:$B$16,$D$1),"",INDEX(记录!$C$2:$C$16,SMALL(IF($D$1=记录!$B$2:$B$16,ROW(记录!$B$7:$B$16)-6),ROW(7:7)))))</f>
        <v/>
      </c>
      <c r="C9" s="11" t="str">
        <f t="array" ref="C9">IF(ISERROR(IF(ROW()-6&gt;COUNTIF(记录!$B$2:$B$16,$D$1),"",INDEX(记录!$D$2:$D$16,SMALL(IF($D$1=记录!$B$2:$B$16,ROW(记录!$B$7:$B$16)-6),ROW(7:7))))),"",IF(ROW()-6&gt;COUNTIF(记录!$B$2:$B$16,$D$1),"",INDEX(记录!$D$2:$D$16,SMALL(IF($D$1=记录!$B$2:$B$16,ROW(记录!$B$7:$B$16)-6),ROW(7:7)))))</f>
        <v/>
      </c>
      <c r="D9" s="14" t="str">
        <f t="array" ref="D9">IF(ISERROR(IF(ROW()-6&gt;COUNTIF(记录!$B$2:$B$16,$D$1),"",INDEX(记录!$E$2:$E$16,SMALL(IF($D$1=记录!$B$2:$B$16,ROW(记录!$B$7:$B$16)-6),ROW(7:7))))),"",IF(ROW()-6&gt;COUNTIF(记录!$B$2:$B$16,$D$1),"",INDEX(记录!$E$2:$E$16,SMALL(IF($D$1=记录!$B$2:$B$16,ROW(记录!$B$7:$B$16)-6),ROW(7:7)))))</f>
        <v/>
      </c>
      <c r="E9" s="14" t="str">
        <f t="array" ref="E9">IF(ISERROR(IF(ROW()-6&gt;COUNTIF(记录!$B$2:$B$16,$D$1),"",INDEX(记录!$F$2:$F$16,SMALL(IF($D$1=记录!$B$2:$B$16,ROW(记录!$B$7:$B$16)-6),ROW(7:7))))),"",IF(ROW()-6&gt;COUNTIF(记录!$B$2:$B$16,$D$1),"",INDEX(记录!$F$2:$F$16,SMALL(IF($D$1=记录!$B$2:$B$16,ROW(记录!$B$7:$B$16)-6),ROW(7:7)))))</f>
        <v/>
      </c>
      <c r="F9" s="17" t="str">
        <f t="array" ref="F9">IF(ISERROR(IF(ROW()-6&gt;COUNTIF(记录!$B$2:$B$16,$D$1),"",INDEX(记录!$G$2:$G$16,SMALL(IF($D$1=记录!$B$2:$B$16,ROW(记录!$B$7:$B$16)-6),ROW(7:7))))),"",IF(ROW()-6&gt;COUNTIF(记录!$B$2:$B$16,$D$1),"",INDEX(记录!$G$2:$G$16,SMALL(IF($D$1=记录!$B$2:$B$16,ROW(记录!$B$7:$B$16)-6),ROW(7:7)))))</f>
        <v/>
      </c>
      <c r="G9" s="16">
        <f>SUMPRODUCT((记录!$B$2:$B$16=$D$1)*(记录!$E$2:$E$16=$D9)*记录!$H$2:$H$16)</f>
        <v>0</v>
      </c>
      <c r="H9" s="16">
        <f>SUMPRODUCT((记录!$B$2:$B$16=$D$1)*(记录!$E$2:$E$16=$D9)*记录!$J$2:$J$16)</f>
        <v>0</v>
      </c>
      <c r="I9" s="24" t="e">
        <f t="shared" si="0"/>
        <v>#VALUE!</v>
      </c>
      <c r="J9" s="25" t="str">
        <f t="array" ref="J9">IF(ISERROR(IF(ROW()-6&gt;COUNTIF(记录!$B$2:$B$16,$D$1),"",INDEX(记录!$L$2:$L$16,SMALL(IF($D$1=记录!$B$2:$B$16,ROW(记录!$B$7:$B$16)-6),ROW(7:7))))),"",IF(ROW()-6&gt;COUNTIF(记录!$B$2:$B$16,$D$1),"",INDEX(记录!$L$2:$L$16,SMALL(IF($D$1=记录!$B$2:$B$16,ROW(记录!$B$7:$B$16)-6),ROW(7:7)))))</f>
        <v/>
      </c>
      <c r="K9" s="14" t="str">
        <f t="array" ref="K9">IF(ISERROR(IF(ROW()-6&gt;COUNTIF(记录!$B$2:$B$16,$D$1),"",INDEX(记录!$M$2:$M$16,SMALL(IF($D$1=记录!$B$2:$B$16,ROW(记录!$B$7:$B$16)-6),ROW(7:7))))),"",IF(ROW()-6&gt;COUNTIF(记录!$B$2:$B$16,$D$1),"",INDEX(记录!$M$2:$M$16,SMALL(IF($D$1=记录!$B$2:$B$16,ROW(记录!$B$7:$B$16)-6),ROW(7:7)))))</f>
        <v/>
      </c>
      <c r="L9" s="14" t="str">
        <f t="array" ref="L9">IF(ISERROR(IF(ROW()-6&gt;COUNTIF(记录!$B$2:$B$16,$D$1),"",INDEX(记录!$N$2:$N$16,SMALL(IF($D$1=记录!$B$2:$B$16,ROW(记录!$B$7:$B$16)-6),ROW(7:7))))),"",IF(ROW()-6&gt;COUNTIF(记录!$B$2:$B$16,$D$1),"",INDEX(记录!$N$2:$N$16,SMALL(IF($D$1=记录!$B$2:$B$16,ROW(记录!$B$7:$B$16)-6),ROW(7:7)))))</f>
        <v/>
      </c>
      <c r="M9" s="26">
        <f ca="1">SUMPRODUCT((记录!$B$2:$B$16=$D$1)*(记录!$E$2:$E$16=$D9)*记录!$O$2:$O$16)</f>
        <v>0</v>
      </c>
      <c r="N9" s="27">
        <f ca="1">SUMPRODUCT((记录!$B$2:$B$16=$D$1)*(记录!$E$2:$E$16=$D9)*记录!$P$2:$P$16)</f>
        <v>0</v>
      </c>
      <c r="O9" s="27">
        <f ca="1">SUMPRODUCT((记录!$B$2:$B$16=$D$1)*(记录!$E$2:$E$16=$D9)*记录!$Q$2:$Q$16)</f>
        <v>0</v>
      </c>
      <c r="P9" s="27">
        <f ca="1">SUMPRODUCT((记录!$B$2:$B$16=$D$1)*(记录!$E$2:$E$16=$D9)*记录!$R$2:$R$16)</f>
        <v>0</v>
      </c>
      <c r="Q9" s="34">
        <f ca="1">SUMPRODUCT((记录!$B$2:$B$16=$D$1)*(记录!$E$2:$E$16=$D9)*记录!$S$2:$S$16)</f>
        <v>0</v>
      </c>
      <c r="R9" s="32"/>
      <c r="S9" s="28"/>
      <c r="U9" s="35" t="s">
        <v>87</v>
      </c>
    </row>
    <row r="10" spans="1:21" ht="18" x14ac:dyDescent="0.35">
      <c r="A10" s="14" t="str">
        <f t="array" ref="A10">IF(ISERROR(IF(ROW()-6&gt;COUNTIF(记录!$B$2:$B$16,$D$1),"",INDEX(记录!$A$2:$A$16,SMALL(IF($D$1=记录!$B$2:$B$16,ROW(记录!$B$7:$B$16)-6),ROW(8:8))))),"",IF(ROW()-6&gt;COUNTIF(记录!$B$2:$B$16,$D$1),"",INDEX(记录!$A$2:$A$16,SMALL(IF($D$1=记录!$B$2:$B$16,ROW(记录!$B$7:$B$16)-6),ROW(8:8)))))</f>
        <v/>
      </c>
      <c r="B10" s="14" t="str">
        <f t="array" ref="B10">IF(ISERROR(IF(ROW()-6&gt;COUNTIF(记录!$B$2:$B$16,$D$1),"",INDEX(记录!$C$2:$C$16,SMALL(IF($D$1=记录!$B$2:$B$16,ROW(记录!$B$7:$B$16)-6),ROW(8:8))))),"",IF(ROW()-6&gt;COUNTIF(记录!$B$2:$B$16,$D$1),"",INDEX(记录!$C$2:$C$16,SMALL(IF($D$1=记录!$B$2:$B$16,ROW(记录!$B$7:$B$16)-6),ROW(8:8)))))</f>
        <v/>
      </c>
      <c r="C10" s="11" t="str">
        <f t="array" ref="C10">IF(ISERROR(IF(ROW()-6&gt;COUNTIF(记录!$B$2:$B$16,$D$1),"",INDEX(记录!$D$2:$D$16,SMALL(IF($D$1=记录!$B$2:$B$16,ROW(记录!$B$7:$B$16)-6),ROW(8:8))))),"",IF(ROW()-6&gt;COUNTIF(记录!$B$2:$B$16,$D$1),"",INDEX(记录!$D$2:$D$16,SMALL(IF($D$1=记录!$B$2:$B$16,ROW(记录!$B$7:$B$16)-6),ROW(8:8)))))</f>
        <v/>
      </c>
      <c r="D10" s="14" t="str">
        <f t="array" ref="D10">IF(ISERROR(IF(ROW()-6&gt;COUNTIF(记录!$B$2:$B$16,$D$1),"",INDEX(记录!$E$2:$E$16,SMALL(IF($D$1=记录!$B$2:$B$16,ROW(记录!$B$7:$B$16)-6),ROW(8:8))))),"",IF(ROW()-6&gt;COUNTIF(记录!$B$2:$B$16,$D$1),"",INDEX(记录!$E$2:$E$16,SMALL(IF($D$1=记录!$B$2:$B$16,ROW(记录!$B$7:$B$16)-6),ROW(8:8)))))</f>
        <v/>
      </c>
      <c r="E10" s="14" t="str">
        <f t="array" ref="E10">IF(ISERROR(IF(ROW()-6&gt;COUNTIF(记录!$B$2:$B$16,$D$1),"",INDEX(记录!$F$2:$F$16,SMALL(IF($D$1=记录!$B$2:$B$16,ROW(记录!$B$7:$B$16)-6),ROW(8:8))))),"",IF(ROW()-6&gt;COUNTIF(记录!$B$2:$B$16,$D$1),"",INDEX(记录!$F$2:$F$16,SMALL(IF($D$1=记录!$B$2:$B$16,ROW(记录!$B$7:$B$16)-6),ROW(8:8)))))</f>
        <v/>
      </c>
      <c r="F10" s="17" t="str">
        <f t="array" ref="F10">IF(ISERROR(IF(ROW()-6&gt;COUNTIF(记录!$B$2:$B$16,$D$1),"",INDEX(记录!$G$2:$G$16,SMALL(IF($D$1=记录!$B$2:$B$16,ROW(记录!$B$7:$B$16)-6),ROW(8:8))))),"",IF(ROW()-6&gt;COUNTIF(记录!$B$2:$B$16,$D$1),"",INDEX(记录!$G$2:$G$16,SMALL(IF($D$1=记录!$B$2:$B$16,ROW(记录!$B$7:$B$16)-6),ROW(8:8)))))</f>
        <v/>
      </c>
      <c r="G10" s="16">
        <f>SUMPRODUCT((记录!$B$2:$B$16=$D$1)*(记录!$E$2:$E$16=$D10)*记录!$H$2:$H$16)</f>
        <v>0</v>
      </c>
      <c r="H10" s="16">
        <f>SUMPRODUCT((记录!$B$2:$B$16=$D$1)*(记录!$E$2:$E$16=$D10)*记录!$J$2:$J$16)</f>
        <v>0</v>
      </c>
      <c r="I10" s="24" t="e">
        <f t="shared" si="0"/>
        <v>#VALUE!</v>
      </c>
      <c r="J10" s="25" t="str">
        <f t="array" ref="J10">IF(ISERROR(IF(ROW()-6&gt;COUNTIF(记录!$B$2:$B$16,$D$1),"",INDEX(记录!$L$2:$L$16,SMALL(IF($D$1=记录!$B$2:$B$16,ROW(记录!$B$7:$B$16)-6),ROW(8:8))))),"",IF(ROW()-6&gt;COUNTIF(记录!$B$2:$B$16,$D$1),"",INDEX(记录!$L$2:$L$16,SMALL(IF($D$1=记录!$B$2:$B$16,ROW(记录!$B$7:$B$16)-6),ROW(8:8)))))</f>
        <v/>
      </c>
      <c r="K10" s="14" t="str">
        <f t="array" ref="K10">IF(ISERROR(IF(ROW()-6&gt;COUNTIF(记录!$B$2:$B$16,$D$1),"",INDEX(记录!$M$2:$M$16,SMALL(IF($D$1=记录!$B$2:$B$16,ROW(记录!$B$7:$B$16)-6),ROW(8:8))))),"",IF(ROW()-6&gt;COUNTIF(记录!$B$2:$B$16,$D$1),"",INDEX(记录!$M$2:$M$16,SMALL(IF($D$1=记录!$B$2:$B$16,ROW(记录!$B$7:$B$16)-6),ROW(8:8)))))</f>
        <v/>
      </c>
      <c r="L10" s="14" t="str">
        <f t="array" ref="L10">IF(ISERROR(IF(ROW()-6&gt;COUNTIF(记录!$B$2:$B$16,$D$1),"",INDEX(记录!$N$2:$N$16,SMALL(IF($D$1=记录!$B$2:$B$16,ROW(记录!$B$7:$B$16)-6),ROW(8:8))))),"",IF(ROW()-6&gt;COUNTIF(记录!$B$2:$B$16,$D$1),"",INDEX(记录!$N$2:$N$16,SMALL(IF($D$1=记录!$B$2:$B$16,ROW(记录!$B$7:$B$16)-6),ROW(8:8)))))</f>
        <v/>
      </c>
      <c r="M10" s="26">
        <f ca="1">SUMPRODUCT((记录!$B$2:$B$16=$D$1)*(记录!$E$2:$E$16=$D10)*记录!$O$2:$O$16)</f>
        <v>0</v>
      </c>
      <c r="N10" s="27">
        <f ca="1">SUMPRODUCT((记录!$B$2:$B$16=$D$1)*(记录!$E$2:$E$16=$D10)*记录!$P$2:$P$16)</f>
        <v>0</v>
      </c>
      <c r="O10" s="27">
        <f ca="1">SUMPRODUCT((记录!$B$2:$B$16=$D$1)*(记录!$E$2:$E$16=$D10)*记录!$Q$2:$Q$16)</f>
        <v>0</v>
      </c>
      <c r="P10" s="27">
        <f ca="1">SUMPRODUCT((记录!$B$2:$B$16=$D$1)*(记录!$E$2:$E$16=$D10)*记录!$R$2:$R$16)</f>
        <v>0</v>
      </c>
      <c r="Q10" s="34">
        <f ca="1">SUMPRODUCT((记录!$B$2:$B$16=$D$1)*(记录!$E$2:$E$16=$D10)*记录!$S$2:$S$16)</f>
        <v>0</v>
      </c>
      <c r="R10" s="32"/>
      <c r="S10" s="28"/>
      <c r="U10" s="35" t="s">
        <v>88</v>
      </c>
    </row>
    <row r="11" spans="1:21" ht="18" x14ac:dyDescent="0.35">
      <c r="A11" s="14" t="str">
        <f t="array" ref="A11">IF(ISERROR(IF(ROW()-6&gt;COUNTIF(记录!$B$2:$B$16,$D$1),"",INDEX(记录!$A$2:$A$16,SMALL(IF($D$1=记录!$B$2:$B$16,ROW(记录!$B$7:$B$16)-6),ROW(9:9))))),"",IF(ROW()-6&gt;COUNTIF(记录!$B$2:$B$16,$D$1),"",INDEX(记录!$A$2:$A$16,SMALL(IF($D$1=记录!$B$2:$B$16,ROW(记录!$B$7:$B$16)-6),ROW(9:9)))))</f>
        <v/>
      </c>
      <c r="B11" s="14" t="str">
        <f t="array" ref="B11">IF(ISERROR(IF(ROW()-6&gt;COUNTIF(记录!$B$2:$B$16,$D$1),"",INDEX(记录!$C$2:$C$16,SMALL(IF($D$1=记录!$B$2:$B$16,ROW(记录!$B$7:$B$16)-6),ROW(9:9))))),"",IF(ROW()-6&gt;COUNTIF(记录!$B$2:$B$16,$D$1),"",INDEX(记录!$C$2:$C$16,SMALL(IF($D$1=记录!$B$2:$B$16,ROW(记录!$B$7:$B$16)-6),ROW(9:9)))))</f>
        <v/>
      </c>
      <c r="C11" s="11" t="str">
        <f t="array" ref="C11">IF(ISERROR(IF(ROW()-6&gt;COUNTIF(记录!$B$2:$B$16,$D$1),"",INDEX(记录!$D$2:$D$16,SMALL(IF($D$1=记录!$B$2:$B$16,ROW(记录!$B$7:$B$16)-6),ROW(9:9))))),"",IF(ROW()-6&gt;COUNTIF(记录!$B$2:$B$16,$D$1),"",INDEX(记录!$D$2:$D$16,SMALL(IF($D$1=记录!$B$2:$B$16,ROW(记录!$B$7:$B$16)-6),ROW(9:9)))))</f>
        <v/>
      </c>
      <c r="D11" s="14" t="str">
        <f t="array" ref="D11">IF(ISERROR(IF(ROW()-6&gt;COUNTIF(记录!$B$2:$B$16,$D$1),"",INDEX(记录!$E$2:$E$16,SMALL(IF($D$1=记录!$B$2:$B$16,ROW(记录!$B$7:$B$16)-6),ROW(9:9))))),"",IF(ROW()-6&gt;COUNTIF(记录!$B$2:$B$16,$D$1),"",INDEX(记录!$E$2:$E$16,SMALL(IF($D$1=记录!$B$2:$B$16,ROW(记录!$B$7:$B$16)-6),ROW(9:9)))))</f>
        <v/>
      </c>
      <c r="E11" s="14" t="str">
        <f t="array" ref="E11">IF(ISERROR(IF(ROW()-6&gt;COUNTIF(记录!$B$2:$B$16,$D$1),"",INDEX(记录!$F$2:$F$16,SMALL(IF($D$1=记录!$B$2:$B$16,ROW(记录!$B$7:$B$16)-6),ROW(9:9))))),"",IF(ROW()-6&gt;COUNTIF(记录!$B$2:$B$16,$D$1),"",INDEX(记录!$F$2:$F$16,SMALL(IF($D$1=记录!$B$2:$B$16,ROW(记录!$B$7:$B$16)-6),ROW(9:9)))))</f>
        <v/>
      </c>
      <c r="F11" s="17" t="str">
        <f t="array" ref="F11">IF(ISERROR(IF(ROW()-6&gt;COUNTIF(记录!$B$2:$B$16,$D$1),"",INDEX(记录!$G$2:$G$16,SMALL(IF($D$1=记录!$B$2:$B$16,ROW(记录!$B$7:$B$16)-6),ROW(9:9))))),"",IF(ROW()-6&gt;COUNTIF(记录!$B$2:$B$16,$D$1),"",INDEX(记录!$G$2:$G$16,SMALL(IF($D$1=记录!$B$2:$B$16,ROW(记录!$B$7:$B$16)-6),ROW(9:9)))))</f>
        <v/>
      </c>
      <c r="G11" s="16">
        <f>SUMPRODUCT((记录!$B$2:$B$16=$D$1)*(记录!$E$2:$E$16=$D11)*记录!$H$2:$H$16)</f>
        <v>0</v>
      </c>
      <c r="H11" s="16">
        <f>SUMPRODUCT((记录!$B$2:$B$16=$D$1)*(记录!$E$2:$E$16=$D11)*记录!$J$2:$J$16)</f>
        <v>0</v>
      </c>
      <c r="I11" s="24" t="e">
        <f t="shared" si="0"/>
        <v>#VALUE!</v>
      </c>
      <c r="J11" s="25" t="str">
        <f t="array" ref="J11">IF(ISERROR(IF(ROW()-6&gt;COUNTIF(记录!$B$2:$B$16,$D$1),"",INDEX(记录!$L$2:$L$16,SMALL(IF($D$1=记录!$B$2:$B$16,ROW(记录!$B$7:$B$16)-6),ROW(9:9))))),"",IF(ROW()-6&gt;COUNTIF(记录!$B$2:$B$16,$D$1),"",INDEX(记录!$L$2:$L$16,SMALL(IF($D$1=记录!$B$2:$B$16,ROW(记录!$B$7:$B$16)-6),ROW(9:9)))))</f>
        <v/>
      </c>
      <c r="K11" s="14" t="str">
        <f t="array" ref="K11">IF(ISERROR(IF(ROW()-6&gt;COUNTIF(记录!$B$2:$B$16,$D$1),"",INDEX(记录!$M$2:$M$16,SMALL(IF($D$1=记录!$B$2:$B$16,ROW(记录!$B$7:$B$16)-6),ROW(9:9))))),"",IF(ROW()-6&gt;COUNTIF(记录!$B$2:$B$16,$D$1),"",INDEX(记录!$M$2:$M$16,SMALL(IF($D$1=记录!$B$2:$B$16,ROW(记录!$B$7:$B$16)-6),ROW(9:9)))))</f>
        <v/>
      </c>
      <c r="L11" s="14" t="str">
        <f t="array" ref="L11">IF(ISERROR(IF(ROW()-6&gt;COUNTIF(记录!$B$2:$B$16,$D$1),"",INDEX(记录!$N$2:$N$16,SMALL(IF($D$1=记录!$B$2:$B$16,ROW(记录!$B$7:$B$16)-6),ROW(9:9))))),"",IF(ROW()-6&gt;COUNTIF(记录!$B$2:$B$16,$D$1),"",INDEX(记录!$N$2:$N$16,SMALL(IF($D$1=记录!$B$2:$B$16,ROW(记录!$B$7:$B$16)-6),ROW(9:9)))))</f>
        <v/>
      </c>
      <c r="M11" s="26">
        <f ca="1">SUMPRODUCT((记录!$B$2:$B$16=$D$1)*(记录!$E$2:$E$16=$D11)*记录!$O$2:$O$16)</f>
        <v>0</v>
      </c>
      <c r="N11" s="27">
        <f ca="1">SUMPRODUCT((记录!$B$2:$B$16=$D$1)*(记录!$E$2:$E$16=$D11)*记录!$P$2:$P$16)</f>
        <v>0</v>
      </c>
      <c r="O11" s="27">
        <f ca="1">SUMPRODUCT((记录!$B$2:$B$16=$D$1)*(记录!$E$2:$E$16=$D11)*记录!$Q$2:$Q$16)</f>
        <v>0</v>
      </c>
      <c r="P11" s="27">
        <f ca="1">SUMPRODUCT((记录!$B$2:$B$16=$D$1)*(记录!$E$2:$E$16=$D11)*记录!$R$2:$R$16)</f>
        <v>0</v>
      </c>
      <c r="Q11" s="34">
        <f ca="1">SUMPRODUCT((记录!$B$2:$B$16=$D$1)*(记录!$E$2:$E$16=$D11)*记录!$S$2:$S$16)</f>
        <v>0</v>
      </c>
      <c r="R11" s="32"/>
      <c r="S11" s="28"/>
      <c r="U11" s="35" t="s">
        <v>89</v>
      </c>
    </row>
    <row r="12" spans="1:21" ht="18" x14ac:dyDescent="0.35">
      <c r="A12" s="14" t="str">
        <f t="array" ref="A12">IF(ISERROR(IF(ROW()-6&gt;COUNTIF(记录!$B$2:$B$16,$D$1),"",INDEX(记录!$A$2:$A$16,SMALL(IF($D$1=记录!$B$2:$B$16,ROW(记录!$B$7:$B$16)-6),ROW(10:10))))),"",IF(ROW()-6&gt;COUNTIF(记录!$B$2:$B$16,$D$1),"",INDEX(记录!$A$2:$A$16,SMALL(IF($D$1=记录!$B$2:$B$16,ROW(记录!$B$7:$B$16)-6),ROW(10:10)))))</f>
        <v/>
      </c>
      <c r="B12" s="14" t="str">
        <f t="array" ref="B12">IF(ISERROR(IF(ROW()-6&gt;COUNTIF(记录!$B$2:$B$16,$D$1),"",INDEX(记录!$C$2:$C$16,SMALL(IF($D$1=记录!$B$2:$B$16,ROW(记录!$B$7:$B$16)-6),ROW(10:10))))),"",IF(ROW()-6&gt;COUNTIF(记录!$B$2:$B$16,$D$1),"",INDEX(记录!$C$2:$C$16,SMALL(IF($D$1=记录!$B$2:$B$16,ROW(记录!$B$7:$B$16)-6),ROW(10:10)))))</f>
        <v/>
      </c>
      <c r="C12" s="11" t="str">
        <f t="array" ref="C12">IF(ISERROR(IF(ROW()-6&gt;COUNTIF(记录!$B$2:$B$16,$D$1),"",INDEX(记录!$D$2:$D$16,SMALL(IF($D$1=记录!$B$2:$B$16,ROW(记录!$B$7:$B$16)-6),ROW(10:10))))),"",IF(ROW()-6&gt;COUNTIF(记录!$B$2:$B$16,$D$1),"",INDEX(记录!$D$2:$D$16,SMALL(IF($D$1=记录!$B$2:$B$16,ROW(记录!$B$7:$B$16)-6),ROW(10:10)))))</f>
        <v/>
      </c>
      <c r="D12" s="14" t="str">
        <f t="array" ref="D12">IF(ISERROR(IF(ROW()-6&gt;COUNTIF(记录!$B$2:$B$16,$D$1),"",INDEX(记录!$E$2:$E$16,SMALL(IF($D$1=记录!$B$2:$B$16,ROW(记录!$B$7:$B$16)-6),ROW(10:10))))),"",IF(ROW()-6&gt;COUNTIF(记录!$B$2:$B$16,$D$1),"",INDEX(记录!$E$2:$E$16,SMALL(IF($D$1=记录!$B$2:$B$16,ROW(记录!$B$7:$B$16)-6),ROW(10:10)))))</f>
        <v/>
      </c>
      <c r="E12" s="14" t="str">
        <f t="array" ref="E12">IF(ISERROR(IF(ROW()-6&gt;COUNTIF(记录!$B$2:$B$16,$D$1),"",INDEX(记录!$F$2:$F$16,SMALL(IF($D$1=记录!$B$2:$B$16,ROW(记录!$B$7:$B$16)-6),ROW(10:10))))),"",IF(ROW()-6&gt;COUNTIF(记录!$B$2:$B$16,$D$1),"",INDEX(记录!$F$2:$F$16,SMALL(IF($D$1=记录!$B$2:$B$16,ROW(记录!$B$7:$B$16)-6),ROW(10:10)))))</f>
        <v/>
      </c>
      <c r="F12" s="17" t="str">
        <f t="array" ref="F12">IF(ISERROR(IF(ROW()-6&gt;COUNTIF(记录!$B$2:$B$16,$D$1),"",INDEX(记录!$G$2:$G$16,SMALL(IF($D$1=记录!$B$2:$B$16,ROW(记录!$B$7:$B$16)-6),ROW(10:10))))),"",IF(ROW()-6&gt;COUNTIF(记录!$B$2:$B$16,$D$1),"",INDEX(记录!$G$2:$G$16,SMALL(IF($D$1=记录!$B$2:$B$16,ROW(记录!$B$7:$B$16)-6),ROW(10:10)))))</f>
        <v/>
      </c>
      <c r="G12" s="16">
        <f>SUMPRODUCT((记录!$B$2:$B$16=$D$1)*(记录!$E$2:$E$16=$D12)*记录!$H$2:$H$16)</f>
        <v>0</v>
      </c>
      <c r="H12" s="16">
        <f>SUMPRODUCT((记录!$B$2:$B$16=$D$1)*(记录!$E$2:$E$16=$D12)*记录!$J$2:$J$16)</f>
        <v>0</v>
      </c>
      <c r="I12" s="24" t="e">
        <f t="shared" si="0"/>
        <v>#VALUE!</v>
      </c>
      <c r="J12" s="25" t="str">
        <f t="array" ref="J12">IF(ISERROR(IF(ROW()-6&gt;COUNTIF(记录!$B$2:$B$16,$D$1),"",INDEX(记录!$L$2:$L$16,SMALL(IF($D$1=记录!$B$2:$B$16,ROW(记录!$B$7:$B$16)-6),ROW(10:10))))),"",IF(ROW()-6&gt;COUNTIF(记录!$B$2:$B$16,$D$1),"",INDEX(记录!$L$2:$L$16,SMALL(IF($D$1=记录!$B$2:$B$16,ROW(记录!$B$7:$B$16)-6),ROW(10:10)))))</f>
        <v/>
      </c>
      <c r="K12" s="14" t="str">
        <f t="array" ref="K12">IF(ISERROR(IF(ROW()-6&gt;COUNTIF(记录!$B$2:$B$16,$D$1),"",INDEX(记录!$M$2:$M$16,SMALL(IF($D$1=记录!$B$2:$B$16,ROW(记录!$B$7:$B$16)-6),ROW(10:10))))),"",IF(ROW()-6&gt;COUNTIF(记录!$B$2:$B$16,$D$1),"",INDEX(记录!$M$2:$M$16,SMALL(IF($D$1=记录!$B$2:$B$16,ROW(记录!$B$7:$B$16)-6),ROW(10:10)))))</f>
        <v/>
      </c>
      <c r="L12" s="14" t="str">
        <f t="array" ref="L12">IF(ISERROR(IF(ROW()-6&gt;COUNTIF(记录!$B$2:$B$16,$D$1),"",INDEX(记录!$N$2:$N$16,SMALL(IF($D$1=记录!$B$2:$B$16,ROW(记录!$B$7:$B$16)-6),ROW(10:10))))),"",IF(ROW()-6&gt;COUNTIF(记录!$B$2:$B$16,$D$1),"",INDEX(记录!$N$2:$N$16,SMALL(IF($D$1=记录!$B$2:$B$16,ROW(记录!$B$7:$B$16)-6),ROW(10:10)))))</f>
        <v/>
      </c>
      <c r="M12" s="26">
        <f ca="1">SUMPRODUCT((记录!$B$2:$B$16=$D$1)*(记录!$E$2:$E$16=$D12)*记录!$O$2:$O$16)</f>
        <v>0</v>
      </c>
      <c r="N12" s="27">
        <f ca="1">SUMPRODUCT((记录!$B$2:$B$16=$D$1)*(记录!$E$2:$E$16=$D12)*记录!$P$2:$P$16)</f>
        <v>0</v>
      </c>
      <c r="O12" s="27">
        <f ca="1">SUMPRODUCT((记录!$B$2:$B$16=$D$1)*(记录!$E$2:$E$16=$D12)*记录!$Q$2:$Q$16)</f>
        <v>0</v>
      </c>
      <c r="P12" s="27">
        <f ca="1">SUMPRODUCT((记录!$B$2:$B$16=$D$1)*(记录!$E$2:$E$16=$D12)*记录!$R$2:$R$16)</f>
        <v>0</v>
      </c>
      <c r="Q12" s="34">
        <f ca="1">SUMPRODUCT((记录!$B$2:$B$16=$D$1)*(记录!$E$2:$E$16=$D12)*记录!$S$2:$S$16)</f>
        <v>0</v>
      </c>
      <c r="R12" s="32"/>
      <c r="S12" s="28"/>
      <c r="U12" s="35" t="s">
        <v>90</v>
      </c>
    </row>
    <row r="13" spans="1:21" ht="18" x14ac:dyDescent="0.35">
      <c r="A13" s="14" t="str">
        <f t="array" ref="A13">IF(ISERROR(IF(ROW()-6&gt;COUNTIF(记录!$B$2:$B$16,$D$1),"",INDEX(记录!$A$2:$A$16,SMALL(IF($D$1=记录!$B$2:$B$16,ROW(记录!$B$7:$B$16)-6),ROW(11:11))))),"",IF(ROW()-6&gt;COUNTIF(记录!$B$2:$B$16,$D$1),"",INDEX(记录!$A$2:$A$16,SMALL(IF($D$1=记录!$B$2:$B$16,ROW(记录!$B$7:$B$16)-6),ROW(11:11)))))</f>
        <v/>
      </c>
      <c r="B13" s="14" t="str">
        <f t="array" ref="B13">IF(ISERROR(IF(ROW()-6&gt;COUNTIF(记录!$B$2:$B$16,$D$1),"",INDEX(记录!$C$2:$C$16,SMALL(IF($D$1=记录!$B$2:$B$16,ROW(记录!$B$7:$B$16)-6),ROW(11:11))))),"",IF(ROW()-6&gt;COUNTIF(记录!$B$2:$B$16,$D$1),"",INDEX(记录!$C$2:$C$16,SMALL(IF($D$1=记录!$B$2:$B$16,ROW(记录!$B$7:$B$16)-6),ROW(11:11)))))</f>
        <v/>
      </c>
      <c r="C13" s="11" t="str">
        <f t="array" ref="C13">IF(ISERROR(IF(ROW()-6&gt;COUNTIF(记录!$B$2:$B$16,$D$1),"",INDEX(记录!$D$2:$D$16,SMALL(IF($D$1=记录!$B$2:$B$16,ROW(记录!$B$7:$B$16)-6),ROW(11:11))))),"",IF(ROW()-6&gt;COUNTIF(记录!$B$2:$B$16,$D$1),"",INDEX(记录!$D$2:$D$16,SMALL(IF($D$1=记录!$B$2:$B$16,ROW(记录!$B$7:$B$16)-6),ROW(11:11)))))</f>
        <v/>
      </c>
      <c r="D13" s="14" t="str">
        <f t="array" ref="D13">IF(ISERROR(IF(ROW()-6&gt;COUNTIF(记录!$B$2:$B$16,$D$1),"",INDEX(记录!$E$2:$E$16,SMALL(IF($D$1=记录!$B$2:$B$16,ROW(记录!$B$7:$B$16)-6),ROW(11:11))))),"",IF(ROW()-6&gt;COUNTIF(记录!$B$2:$B$16,$D$1),"",INDEX(记录!$E$2:$E$16,SMALL(IF($D$1=记录!$B$2:$B$16,ROW(记录!$B$7:$B$16)-6),ROW(11:11)))))</f>
        <v/>
      </c>
      <c r="E13" s="14" t="str">
        <f t="array" ref="E13">IF(ISERROR(IF(ROW()-6&gt;COUNTIF(记录!$B$2:$B$16,$D$1),"",INDEX(记录!$F$2:$F$16,SMALL(IF($D$1=记录!$B$2:$B$16,ROW(记录!$B$7:$B$16)-6),ROW(11:11))))),"",IF(ROW()-6&gt;COUNTIF(记录!$B$2:$B$16,$D$1),"",INDEX(记录!$F$2:$F$16,SMALL(IF($D$1=记录!$B$2:$B$16,ROW(记录!$B$7:$B$16)-6),ROW(11:11)))))</f>
        <v/>
      </c>
      <c r="F13" s="17" t="str">
        <f t="array" ref="F13">IF(ISERROR(IF(ROW()-6&gt;COUNTIF(记录!$B$2:$B$16,$D$1),"",INDEX(记录!$G$2:$G$16,SMALL(IF($D$1=记录!$B$2:$B$16,ROW(记录!$B$7:$B$16)-6),ROW(11:11))))),"",IF(ROW()-6&gt;COUNTIF(记录!$B$2:$B$16,$D$1),"",INDEX(记录!$G$2:$G$16,SMALL(IF($D$1=记录!$B$2:$B$16,ROW(记录!$B$7:$B$16)-6),ROW(11:11)))))</f>
        <v/>
      </c>
      <c r="G13" s="16">
        <f>SUMPRODUCT((记录!$B$2:$B$16=$D$1)*(记录!$E$2:$E$16=$D13)*记录!$H$2:$H$16)</f>
        <v>0</v>
      </c>
      <c r="H13" s="16">
        <f>SUMPRODUCT((记录!$B$2:$B$16=$D$1)*(记录!$E$2:$E$16=$D13)*记录!$J$2:$J$16)</f>
        <v>0</v>
      </c>
      <c r="I13" s="24" t="e">
        <f t="shared" si="0"/>
        <v>#VALUE!</v>
      </c>
      <c r="J13" s="25" t="str">
        <f t="array" ref="J13">IF(ISERROR(IF(ROW()-6&gt;COUNTIF(记录!$B$2:$B$16,$D$1),"",INDEX(记录!$L$2:$L$16,SMALL(IF($D$1=记录!$B$2:$B$16,ROW(记录!$B$7:$B$16)-6),ROW(11:11))))),"",IF(ROW()-6&gt;COUNTIF(记录!$B$2:$B$16,$D$1),"",INDEX(记录!$L$2:$L$16,SMALL(IF($D$1=记录!$B$2:$B$16,ROW(记录!$B$7:$B$16)-6),ROW(11:11)))))</f>
        <v/>
      </c>
      <c r="K13" s="14" t="str">
        <f t="array" ref="K13">IF(ISERROR(IF(ROW()-6&gt;COUNTIF(记录!$B$2:$B$16,$D$1),"",INDEX(记录!$M$2:$M$16,SMALL(IF($D$1=记录!$B$2:$B$16,ROW(记录!$B$7:$B$16)-6),ROW(11:11))))),"",IF(ROW()-6&gt;COUNTIF(记录!$B$2:$B$16,$D$1),"",INDEX(记录!$M$2:$M$16,SMALL(IF($D$1=记录!$B$2:$B$16,ROW(记录!$B$7:$B$16)-6),ROW(11:11)))))</f>
        <v/>
      </c>
      <c r="L13" s="14" t="str">
        <f t="array" ref="L13">IF(ISERROR(IF(ROW()-6&gt;COUNTIF(记录!$B$2:$B$16,$D$1),"",INDEX(记录!$N$2:$N$16,SMALL(IF($D$1=记录!$B$2:$B$16,ROW(记录!$B$7:$B$16)-6),ROW(11:11))))),"",IF(ROW()-6&gt;COUNTIF(记录!$B$2:$B$16,$D$1),"",INDEX(记录!$N$2:$N$16,SMALL(IF($D$1=记录!$B$2:$B$16,ROW(记录!$B$7:$B$16)-6),ROW(11:11)))))</f>
        <v/>
      </c>
      <c r="M13" s="26">
        <f ca="1">SUMPRODUCT((记录!$B$2:$B$16=$D$1)*(记录!$E$2:$E$16=$D13)*记录!$O$2:$O$16)</f>
        <v>0</v>
      </c>
      <c r="N13" s="27">
        <f ca="1">SUMPRODUCT((记录!$B$2:$B$16=$D$1)*(记录!$E$2:$E$16=$D13)*记录!$P$2:$P$16)</f>
        <v>0</v>
      </c>
      <c r="O13" s="27">
        <f ca="1">SUMPRODUCT((记录!$B$2:$B$16=$D$1)*(记录!$E$2:$E$16=$D13)*记录!$Q$2:$Q$16)</f>
        <v>0</v>
      </c>
      <c r="P13" s="27">
        <f ca="1">SUMPRODUCT((记录!$B$2:$B$16=$D$1)*(记录!$E$2:$E$16=$D13)*记录!$R$2:$R$16)</f>
        <v>0</v>
      </c>
      <c r="Q13" s="34">
        <f ca="1">SUMPRODUCT((记录!$B$2:$B$16=$D$1)*(记录!$E$2:$E$16=$D13)*记录!$S$2:$S$16)</f>
        <v>0</v>
      </c>
      <c r="R13" s="32"/>
      <c r="S13" s="28"/>
      <c r="U13" s="35" t="s">
        <v>91</v>
      </c>
    </row>
    <row r="14" spans="1:21" ht="18" x14ac:dyDescent="0.35">
      <c r="A14" s="14" t="str">
        <f t="array" ref="A14">IF(ISERROR(IF(ROW()-6&gt;COUNTIF(记录!$B$2:$B$16,$D$1),"",INDEX(记录!$A$2:$A$16,SMALL(IF($D$1=记录!$B$2:$B$16,ROW(记录!$B$7:$B$16)-6),ROW(12:12))))),"",IF(ROW()-6&gt;COUNTIF(记录!$B$2:$B$16,$D$1),"",INDEX(记录!$A$2:$A$16,SMALL(IF($D$1=记录!$B$2:$B$16,ROW(记录!$B$7:$B$16)-6),ROW(12:12)))))</f>
        <v/>
      </c>
      <c r="B14" s="14" t="str">
        <f t="array" ref="B14">IF(ISERROR(IF(ROW()-6&gt;COUNTIF(记录!$B$2:$B$16,$D$1),"",INDEX(记录!$C$2:$C$16,SMALL(IF($D$1=记录!$B$2:$B$16,ROW(记录!$B$7:$B$16)-6),ROW(12:12))))),"",IF(ROW()-6&gt;COUNTIF(记录!$B$2:$B$16,$D$1),"",INDEX(记录!$C$2:$C$16,SMALL(IF($D$1=记录!$B$2:$B$16,ROW(记录!$B$7:$B$16)-6),ROW(12:12)))))</f>
        <v/>
      </c>
      <c r="C14" s="11" t="str">
        <f t="array" ref="C14">IF(ISERROR(IF(ROW()-6&gt;COUNTIF(记录!$B$2:$B$16,$D$1),"",INDEX(记录!$D$2:$D$16,SMALL(IF($D$1=记录!$B$2:$B$16,ROW(记录!$B$7:$B$16)-6),ROW(12:12))))),"",IF(ROW()-6&gt;COUNTIF(记录!$B$2:$B$16,$D$1),"",INDEX(记录!$D$2:$D$16,SMALL(IF($D$1=记录!$B$2:$B$16,ROW(记录!$B$7:$B$16)-6),ROW(12:12)))))</f>
        <v/>
      </c>
      <c r="D14" s="14" t="str">
        <f t="array" ref="D14">IF(ISERROR(IF(ROW()-6&gt;COUNTIF(记录!$B$2:$B$16,$D$1),"",INDEX(记录!$E$2:$E$16,SMALL(IF($D$1=记录!$B$2:$B$16,ROW(记录!$B$7:$B$16)-6),ROW(12:12))))),"",IF(ROW()-6&gt;COUNTIF(记录!$B$2:$B$16,$D$1),"",INDEX(记录!$E$2:$E$16,SMALL(IF($D$1=记录!$B$2:$B$16,ROW(记录!$B$7:$B$16)-6),ROW(12:12)))))</f>
        <v/>
      </c>
      <c r="E14" s="14" t="str">
        <f t="array" ref="E14">IF(ISERROR(IF(ROW()-6&gt;COUNTIF(记录!$B$2:$B$16,$D$1),"",INDEX(记录!$F$2:$F$16,SMALL(IF($D$1=记录!$B$2:$B$16,ROW(记录!$B$7:$B$16)-6),ROW(12:12))))),"",IF(ROW()-6&gt;COUNTIF(记录!$B$2:$B$16,$D$1),"",INDEX(记录!$F$2:$F$16,SMALL(IF($D$1=记录!$B$2:$B$16,ROW(记录!$B$7:$B$16)-6),ROW(12:12)))))</f>
        <v/>
      </c>
      <c r="F14" s="17" t="str">
        <f t="array" ref="F14">IF(ISERROR(IF(ROW()-6&gt;COUNTIF(记录!$B$2:$B$16,$D$1),"",INDEX(记录!$G$2:$G$16,SMALL(IF($D$1=记录!$B$2:$B$16,ROW(记录!$B$7:$B$16)-6),ROW(12:12))))),"",IF(ROW()-6&gt;COUNTIF(记录!$B$2:$B$16,$D$1),"",INDEX(记录!$G$2:$G$16,SMALL(IF($D$1=记录!$B$2:$B$16,ROW(记录!$B$7:$B$16)-6),ROW(12:12)))))</f>
        <v/>
      </c>
      <c r="G14" s="16">
        <f>SUMPRODUCT((记录!$B$2:$B$16=$D$1)*(记录!$E$2:$E$16=$D14)*记录!$H$2:$H$16)</f>
        <v>0</v>
      </c>
      <c r="H14" s="16">
        <f>SUMPRODUCT((记录!$B$2:$B$16=$D$1)*(记录!$E$2:$E$16=$D14)*记录!$J$2:$J$16)</f>
        <v>0</v>
      </c>
      <c r="I14" s="24" t="e">
        <f t="shared" si="0"/>
        <v>#VALUE!</v>
      </c>
      <c r="J14" s="25" t="str">
        <f t="array" ref="J14">IF(ISERROR(IF(ROW()-6&gt;COUNTIF(记录!$B$2:$B$16,$D$1),"",INDEX(记录!$L$2:$L$16,SMALL(IF($D$1=记录!$B$2:$B$16,ROW(记录!$B$7:$B$16)-6),ROW(12:12))))),"",IF(ROW()-6&gt;COUNTIF(记录!$B$2:$B$16,$D$1),"",INDEX(记录!$L$2:$L$16,SMALL(IF($D$1=记录!$B$2:$B$16,ROW(记录!$B$7:$B$16)-6),ROW(12:12)))))</f>
        <v/>
      </c>
      <c r="K14" s="14" t="str">
        <f t="array" ref="K14">IF(ISERROR(IF(ROW()-6&gt;COUNTIF(记录!$B$2:$B$16,$D$1),"",INDEX(记录!$M$2:$M$16,SMALL(IF($D$1=记录!$B$2:$B$16,ROW(记录!$B$7:$B$16)-6),ROW(12:12))))),"",IF(ROW()-6&gt;COUNTIF(记录!$B$2:$B$16,$D$1),"",INDEX(记录!$M$2:$M$16,SMALL(IF($D$1=记录!$B$2:$B$16,ROW(记录!$B$7:$B$16)-6),ROW(12:12)))))</f>
        <v/>
      </c>
      <c r="L14" s="14" t="str">
        <f t="array" ref="L14">IF(ISERROR(IF(ROW()-6&gt;COUNTIF(记录!$B$2:$B$16,$D$1),"",INDEX(记录!$N$2:$N$16,SMALL(IF($D$1=记录!$B$2:$B$16,ROW(记录!$B$7:$B$16)-6),ROW(12:12))))),"",IF(ROW()-6&gt;COUNTIF(记录!$B$2:$B$16,$D$1),"",INDEX(记录!$N$2:$N$16,SMALL(IF($D$1=记录!$B$2:$B$16,ROW(记录!$B$7:$B$16)-6),ROW(12:12)))))</f>
        <v/>
      </c>
      <c r="M14" s="26">
        <f ca="1">SUMPRODUCT((记录!$B$2:$B$16=$D$1)*(记录!$E$2:$E$16=$D14)*记录!$O$2:$O$16)</f>
        <v>0</v>
      </c>
      <c r="N14" s="27">
        <f ca="1">SUMPRODUCT((记录!$B$2:$B$16=$D$1)*(记录!$E$2:$E$16=$D14)*记录!$P$2:$P$16)</f>
        <v>0</v>
      </c>
      <c r="O14" s="27">
        <f ca="1">SUMPRODUCT((记录!$B$2:$B$16=$D$1)*(记录!$E$2:$E$16=$D14)*记录!$Q$2:$Q$16)</f>
        <v>0</v>
      </c>
      <c r="P14" s="27">
        <f ca="1">SUMPRODUCT((记录!$B$2:$B$16=$D$1)*(记录!$E$2:$E$16=$D14)*记录!$R$2:$R$16)</f>
        <v>0</v>
      </c>
      <c r="Q14" s="34">
        <f ca="1">SUMPRODUCT((记录!$B$2:$B$16=$D$1)*(记录!$E$2:$E$16=$D14)*记录!$S$2:$S$16)</f>
        <v>0</v>
      </c>
      <c r="R14" s="32"/>
      <c r="S14" s="28"/>
      <c r="U14" s="35" t="s">
        <v>92</v>
      </c>
    </row>
    <row r="15" spans="1:21" ht="18" x14ac:dyDescent="0.35">
      <c r="A15" s="14" t="str">
        <f t="array" ref="A15">IF(ISERROR(IF(ROW()-6&gt;COUNTIF(记录!$B$2:$B$16,$D$1),"",INDEX(记录!$A$2:$A$16,SMALL(IF($D$1=记录!$B$2:$B$16,ROW(记录!$B$7:$B$16)-6),ROW(13:13))))),"",IF(ROW()-6&gt;COUNTIF(记录!$B$2:$B$16,$D$1),"",INDEX(记录!$A$2:$A$16,SMALL(IF($D$1=记录!$B$2:$B$16,ROW(记录!$B$7:$B$16)-6),ROW(13:13)))))</f>
        <v/>
      </c>
      <c r="B15" s="14" t="str">
        <f t="array" ref="B15">IF(ISERROR(IF(ROW()-6&gt;COUNTIF(记录!$B$2:$B$16,$D$1),"",INDEX(记录!$C$2:$C$16,SMALL(IF($D$1=记录!$B$2:$B$16,ROW(记录!$B$7:$B$16)-6),ROW(13:13))))),"",IF(ROW()-6&gt;COUNTIF(记录!$B$2:$B$16,$D$1),"",INDEX(记录!$C$2:$C$16,SMALL(IF($D$1=记录!$B$2:$B$16,ROW(记录!$B$7:$B$16)-6),ROW(13:13)))))</f>
        <v/>
      </c>
      <c r="C15" s="11" t="str">
        <f t="array" ref="C15">IF(ISERROR(IF(ROW()-6&gt;COUNTIF(记录!$B$2:$B$16,$D$1),"",INDEX(记录!$D$2:$D$16,SMALL(IF($D$1=记录!$B$2:$B$16,ROW(记录!$B$7:$B$16)-6),ROW(13:13))))),"",IF(ROW()-6&gt;COUNTIF(记录!$B$2:$B$16,$D$1),"",INDEX(记录!$D$2:$D$16,SMALL(IF($D$1=记录!$B$2:$B$16,ROW(记录!$B$7:$B$16)-6),ROW(13:13)))))</f>
        <v/>
      </c>
      <c r="D15" s="14" t="str">
        <f t="array" ref="D15">IF(ISERROR(IF(ROW()-6&gt;COUNTIF(记录!$B$2:$B$16,$D$1),"",INDEX(记录!$E$2:$E$16,SMALL(IF($D$1=记录!$B$2:$B$16,ROW(记录!$B$7:$B$16)-6),ROW(13:13))))),"",IF(ROW()-6&gt;COUNTIF(记录!$B$2:$B$16,$D$1),"",INDEX(记录!$E$2:$E$16,SMALL(IF($D$1=记录!$B$2:$B$16,ROW(记录!$B$7:$B$16)-6),ROW(13:13)))))</f>
        <v/>
      </c>
      <c r="E15" s="14" t="str">
        <f t="array" ref="E15">IF(ISERROR(IF(ROW()-6&gt;COUNTIF(记录!$B$2:$B$16,$D$1),"",INDEX(记录!$F$2:$F$16,SMALL(IF($D$1=记录!$B$2:$B$16,ROW(记录!$B$7:$B$16)-6),ROW(13:13))))),"",IF(ROW()-6&gt;COUNTIF(记录!$B$2:$B$16,$D$1),"",INDEX(记录!$F$2:$F$16,SMALL(IF($D$1=记录!$B$2:$B$16,ROW(记录!$B$7:$B$16)-6),ROW(13:13)))))</f>
        <v/>
      </c>
      <c r="F15" s="17" t="str">
        <f t="array" ref="F15">IF(ISERROR(IF(ROW()-6&gt;COUNTIF(记录!$B$2:$B$16,$D$1),"",INDEX(记录!$G$2:$G$16,SMALL(IF($D$1=记录!$B$2:$B$16,ROW(记录!$B$7:$B$16)-6),ROW(13:13))))),"",IF(ROW()-6&gt;COUNTIF(记录!$B$2:$B$16,$D$1),"",INDEX(记录!$G$2:$G$16,SMALL(IF($D$1=记录!$B$2:$B$16,ROW(记录!$B$7:$B$16)-6),ROW(13:13)))))</f>
        <v/>
      </c>
      <c r="G15" s="16">
        <f>SUMPRODUCT((记录!$B$2:$B$16=$D$1)*(记录!$E$2:$E$16=$D15)*记录!$H$2:$H$16)</f>
        <v>0</v>
      </c>
      <c r="H15" s="16">
        <f>SUMPRODUCT((记录!$B$2:$B$16=$D$1)*(记录!$E$2:$E$16=$D15)*记录!$J$2:$J$16)</f>
        <v>0</v>
      </c>
      <c r="I15" s="24" t="e">
        <f t="shared" si="0"/>
        <v>#VALUE!</v>
      </c>
      <c r="J15" s="25" t="str">
        <f t="array" ref="J15">IF(ISERROR(IF(ROW()-6&gt;COUNTIF(记录!$B$2:$B$16,$D$1),"",INDEX(记录!$L$2:$L$16,SMALL(IF($D$1=记录!$B$2:$B$16,ROW(记录!$B$7:$B$16)-6),ROW(13:13))))),"",IF(ROW()-6&gt;COUNTIF(记录!$B$2:$B$16,$D$1),"",INDEX(记录!$L$2:$L$16,SMALL(IF($D$1=记录!$B$2:$B$16,ROW(记录!$B$7:$B$16)-6),ROW(13:13)))))</f>
        <v/>
      </c>
      <c r="K15" s="14" t="str">
        <f t="array" ref="K15">IF(ISERROR(IF(ROW()-6&gt;COUNTIF(记录!$B$2:$B$16,$D$1),"",INDEX(记录!$M$2:$M$16,SMALL(IF($D$1=记录!$B$2:$B$16,ROW(记录!$B$7:$B$16)-6),ROW(13:13))))),"",IF(ROW()-6&gt;COUNTIF(记录!$B$2:$B$16,$D$1),"",INDEX(记录!$M$2:$M$16,SMALL(IF($D$1=记录!$B$2:$B$16,ROW(记录!$B$7:$B$16)-6),ROW(13:13)))))</f>
        <v/>
      </c>
      <c r="L15" s="14" t="str">
        <f t="array" ref="L15">IF(ISERROR(IF(ROW()-6&gt;COUNTIF(记录!$B$2:$B$16,$D$1),"",INDEX(记录!$N$2:$N$16,SMALL(IF($D$1=记录!$B$2:$B$16,ROW(记录!$B$7:$B$16)-6),ROW(13:13))))),"",IF(ROW()-6&gt;COUNTIF(记录!$B$2:$B$16,$D$1),"",INDEX(记录!$N$2:$N$16,SMALL(IF($D$1=记录!$B$2:$B$16,ROW(记录!$B$7:$B$16)-6),ROW(13:13)))))</f>
        <v/>
      </c>
      <c r="M15" s="26">
        <f ca="1">SUMPRODUCT((记录!$B$2:$B$16=$D$1)*(记录!$E$2:$E$16=$D15)*记录!$O$2:$O$16)</f>
        <v>0</v>
      </c>
      <c r="N15" s="27">
        <f ca="1">SUMPRODUCT((记录!$B$2:$B$16=$D$1)*(记录!$E$2:$E$16=$D15)*记录!$P$2:$P$16)</f>
        <v>0</v>
      </c>
      <c r="O15" s="27">
        <f ca="1">SUMPRODUCT((记录!$B$2:$B$16=$D$1)*(记录!$E$2:$E$16=$D15)*记录!$Q$2:$Q$16)</f>
        <v>0</v>
      </c>
      <c r="P15" s="27">
        <f ca="1">SUMPRODUCT((记录!$B$2:$B$16=$D$1)*(记录!$E$2:$E$16=$D15)*记录!$R$2:$R$16)</f>
        <v>0</v>
      </c>
      <c r="Q15" s="34">
        <f ca="1">SUMPRODUCT((记录!$B$2:$B$16=$D$1)*(记录!$E$2:$E$16=$D15)*记录!$S$2:$S$16)</f>
        <v>0</v>
      </c>
      <c r="R15" s="32"/>
      <c r="S15" s="28"/>
      <c r="U15" s="35" t="s">
        <v>93</v>
      </c>
    </row>
    <row r="16" spans="1:21" ht="18" x14ac:dyDescent="0.35">
      <c r="A16" s="14" t="str">
        <f t="array" ref="A16">IF(ISERROR(IF(ROW()-6&gt;COUNTIF(记录!$B$2:$B$16,$D$1),"",INDEX(记录!$A$2:$A$16,SMALL(IF($D$1=记录!$B$2:$B$16,ROW(记录!$B$7:$B$16)-6),ROW(14:14))))),"",IF(ROW()-6&gt;COUNTIF(记录!$B$2:$B$16,$D$1),"",INDEX(记录!$A$2:$A$16,SMALL(IF($D$1=记录!$B$2:$B$16,ROW(记录!$B$7:$B$16)-6),ROW(14:14)))))</f>
        <v/>
      </c>
      <c r="B16" s="14" t="str">
        <f t="array" ref="B16">IF(ISERROR(IF(ROW()-6&gt;COUNTIF(记录!$B$2:$B$16,$D$1),"",INDEX(记录!$C$2:$C$16,SMALL(IF($D$1=记录!$B$2:$B$16,ROW(记录!$B$7:$B$16)-6),ROW(14:14))))),"",IF(ROW()-6&gt;COUNTIF(记录!$B$2:$B$16,$D$1),"",INDEX(记录!$C$2:$C$16,SMALL(IF($D$1=记录!$B$2:$B$16,ROW(记录!$B$7:$B$16)-6),ROW(14:14)))))</f>
        <v/>
      </c>
      <c r="C16" s="11" t="str">
        <f t="array" ref="C16">IF(ISERROR(IF(ROW()-6&gt;COUNTIF(记录!$B$2:$B$16,$D$1),"",INDEX(记录!$D$2:$D$16,SMALL(IF($D$1=记录!$B$2:$B$16,ROW(记录!$B$7:$B$16)-6),ROW(14:14))))),"",IF(ROW()-6&gt;COUNTIF(记录!$B$2:$B$16,$D$1),"",INDEX(记录!$D$2:$D$16,SMALL(IF($D$1=记录!$B$2:$B$16,ROW(记录!$B$7:$B$16)-6),ROW(14:14)))))</f>
        <v/>
      </c>
      <c r="D16" s="14" t="str">
        <f t="array" ref="D16">IF(ISERROR(IF(ROW()-6&gt;COUNTIF(记录!$B$2:$B$16,$D$1),"",INDEX(记录!$E$2:$E$16,SMALL(IF($D$1=记录!$B$2:$B$16,ROW(记录!$B$7:$B$16)-6),ROW(14:14))))),"",IF(ROW()-6&gt;COUNTIF(记录!$B$2:$B$16,$D$1),"",INDEX(记录!$E$2:$E$16,SMALL(IF($D$1=记录!$B$2:$B$16,ROW(记录!$B$7:$B$16)-6),ROW(14:14)))))</f>
        <v/>
      </c>
      <c r="E16" s="14" t="str">
        <f t="array" ref="E16">IF(ISERROR(IF(ROW()-6&gt;COUNTIF(记录!$B$2:$B$16,$D$1),"",INDEX(记录!$F$2:$F$16,SMALL(IF($D$1=记录!$B$2:$B$16,ROW(记录!$B$7:$B$16)-6),ROW(14:14))))),"",IF(ROW()-6&gt;COUNTIF(记录!$B$2:$B$16,$D$1),"",INDEX(记录!$F$2:$F$16,SMALL(IF($D$1=记录!$B$2:$B$16,ROW(记录!$B$7:$B$16)-6),ROW(14:14)))))</f>
        <v/>
      </c>
      <c r="F16" s="17" t="str">
        <f t="array" ref="F16">IF(ISERROR(IF(ROW()-6&gt;COUNTIF(记录!$B$2:$B$16,$D$1),"",INDEX(记录!$G$2:$G$16,SMALL(IF($D$1=记录!$B$2:$B$16,ROW(记录!$B$7:$B$16)-6),ROW(14:14))))),"",IF(ROW()-6&gt;COUNTIF(记录!$B$2:$B$16,$D$1),"",INDEX(记录!$G$2:$G$16,SMALL(IF($D$1=记录!$B$2:$B$16,ROW(记录!$B$7:$B$16)-6),ROW(14:14)))))</f>
        <v/>
      </c>
      <c r="G16" s="16">
        <f>SUMPRODUCT((记录!$B$2:$B$16=$D$1)*(记录!$E$2:$E$16=$D16)*记录!$H$2:$H$16)</f>
        <v>0</v>
      </c>
      <c r="H16" s="16">
        <f>SUMPRODUCT((记录!$B$2:$B$16=$D$1)*(记录!$E$2:$E$16=$D16)*记录!$J$2:$J$16)</f>
        <v>0</v>
      </c>
      <c r="I16" s="24" t="e">
        <f t="shared" si="0"/>
        <v>#VALUE!</v>
      </c>
      <c r="J16" s="25" t="str">
        <f t="array" ref="J16">IF(ISERROR(IF(ROW()-6&gt;COUNTIF(记录!$B$2:$B$16,$D$1),"",INDEX(记录!$L$2:$L$16,SMALL(IF($D$1=记录!$B$2:$B$16,ROW(记录!$B$7:$B$16)-6),ROW(14:14))))),"",IF(ROW()-6&gt;COUNTIF(记录!$B$2:$B$16,$D$1),"",INDEX(记录!$L$2:$L$16,SMALL(IF($D$1=记录!$B$2:$B$16,ROW(记录!$B$7:$B$16)-6),ROW(14:14)))))</f>
        <v/>
      </c>
      <c r="K16" s="14" t="str">
        <f t="array" ref="K16">IF(ISERROR(IF(ROW()-6&gt;COUNTIF(记录!$B$2:$B$16,$D$1),"",INDEX(记录!$M$2:$M$16,SMALL(IF($D$1=记录!$B$2:$B$16,ROW(记录!$B$7:$B$16)-6),ROW(14:14))))),"",IF(ROW()-6&gt;COUNTIF(记录!$B$2:$B$16,$D$1),"",INDEX(记录!$M$2:$M$16,SMALL(IF($D$1=记录!$B$2:$B$16,ROW(记录!$B$7:$B$16)-6),ROW(14:14)))))</f>
        <v/>
      </c>
      <c r="L16" s="14" t="str">
        <f t="array" ref="L16">IF(ISERROR(IF(ROW()-6&gt;COUNTIF(记录!$B$2:$B$16,$D$1),"",INDEX(记录!$N$2:$N$16,SMALL(IF($D$1=记录!$B$2:$B$16,ROW(记录!$B$7:$B$16)-6),ROW(14:14))))),"",IF(ROW()-6&gt;COUNTIF(记录!$B$2:$B$16,$D$1),"",INDEX(记录!$N$2:$N$16,SMALL(IF($D$1=记录!$B$2:$B$16,ROW(记录!$B$7:$B$16)-6),ROW(14:14)))))</f>
        <v/>
      </c>
      <c r="M16" s="26">
        <f ca="1">SUMPRODUCT((记录!$B$2:$B$16=$D$1)*(记录!$E$2:$E$16=$D16)*记录!$O$2:$O$16)</f>
        <v>0</v>
      </c>
      <c r="N16" s="27">
        <f ca="1">SUMPRODUCT((记录!$B$2:$B$16=$D$1)*(记录!$E$2:$E$16=$D16)*记录!$P$2:$P$16)</f>
        <v>0</v>
      </c>
      <c r="O16" s="27">
        <f ca="1">SUMPRODUCT((记录!$B$2:$B$16=$D$1)*(记录!$E$2:$E$16=$D16)*记录!$Q$2:$Q$16)</f>
        <v>0</v>
      </c>
      <c r="P16" s="27">
        <f ca="1">SUMPRODUCT((记录!$B$2:$B$16=$D$1)*(记录!$E$2:$E$16=$D16)*记录!$R$2:$R$16)</f>
        <v>0</v>
      </c>
      <c r="Q16" s="34">
        <f ca="1">SUMPRODUCT((记录!$B$2:$B$16=$D$1)*(记录!$E$2:$E$16=$D16)*记录!$S$2:$S$16)</f>
        <v>0</v>
      </c>
      <c r="R16" s="32"/>
      <c r="S16" s="28"/>
    </row>
    <row r="17" spans="1:19" ht="18" x14ac:dyDescent="0.35">
      <c r="A17" s="14" t="str">
        <f t="array" ref="A17">IF(ISERROR(IF(ROW()-6&gt;COUNTIF(记录!$B$2:$B$16,$D$1),"",INDEX(记录!$A$2:$A$16,SMALL(IF($D$1=记录!$B$2:$B$16,ROW(记录!$B$7:$B$16)-6),ROW(15:15))))),"",IF(ROW()-6&gt;COUNTIF(记录!$B$2:$B$16,$D$1),"",INDEX(记录!$A$2:$A$16,SMALL(IF($D$1=记录!$B$2:$B$16,ROW(记录!$B$7:$B$16)-6),ROW(15:15)))))</f>
        <v/>
      </c>
      <c r="B17" s="14" t="str">
        <f t="array" ref="B17">IF(ISERROR(IF(ROW()-6&gt;COUNTIF(记录!$B$2:$B$16,$D$1),"",INDEX(记录!$C$2:$C$16,SMALL(IF($D$1=记录!$B$2:$B$16,ROW(记录!$B$7:$B$16)-6),ROW(15:15))))),"",IF(ROW()-6&gt;COUNTIF(记录!$B$2:$B$16,$D$1),"",INDEX(记录!$C$2:$C$16,SMALL(IF($D$1=记录!$B$2:$B$16,ROW(记录!$B$7:$B$16)-6),ROW(15:15)))))</f>
        <v/>
      </c>
      <c r="C17" s="11" t="str">
        <f t="array" ref="C17">IF(ISERROR(IF(ROW()-6&gt;COUNTIF(记录!$B$2:$B$16,$D$1),"",INDEX(记录!$D$2:$D$16,SMALL(IF($D$1=记录!$B$2:$B$16,ROW(记录!$B$7:$B$16)-6),ROW(15:15))))),"",IF(ROW()-6&gt;COUNTIF(记录!$B$2:$B$16,$D$1),"",INDEX(记录!$D$2:$D$16,SMALL(IF($D$1=记录!$B$2:$B$16,ROW(记录!$B$7:$B$16)-6),ROW(15:15)))))</f>
        <v/>
      </c>
      <c r="D17" s="14" t="str">
        <f t="array" ref="D17">IF(ISERROR(IF(ROW()-6&gt;COUNTIF(记录!$B$2:$B$16,$D$1),"",INDEX(记录!$E$2:$E$16,SMALL(IF($D$1=记录!$B$2:$B$16,ROW(记录!$B$7:$B$16)-6),ROW(15:15))))),"",IF(ROW()-6&gt;COUNTIF(记录!$B$2:$B$16,$D$1),"",INDEX(记录!$E$2:$E$16,SMALL(IF($D$1=记录!$B$2:$B$16,ROW(记录!$B$7:$B$16)-6),ROW(15:15)))))</f>
        <v/>
      </c>
      <c r="E17" s="14" t="str">
        <f t="array" ref="E17">IF(ISERROR(IF(ROW()-6&gt;COUNTIF(记录!$B$2:$B$16,$D$1),"",INDEX(记录!$F$2:$F$16,SMALL(IF($D$1=记录!$B$2:$B$16,ROW(记录!$B$7:$B$16)-6),ROW(15:15))))),"",IF(ROW()-6&gt;COUNTIF(记录!$B$2:$B$16,$D$1),"",INDEX(记录!$F$2:$F$16,SMALL(IF($D$1=记录!$B$2:$B$16,ROW(记录!$B$7:$B$16)-6),ROW(15:15)))))</f>
        <v/>
      </c>
      <c r="F17" s="17" t="str">
        <f t="array" ref="F17">IF(ISERROR(IF(ROW()-6&gt;COUNTIF(记录!$B$2:$B$16,$D$1),"",INDEX(记录!$G$2:$G$16,SMALL(IF($D$1=记录!$B$2:$B$16,ROW(记录!$B$7:$B$16)-6),ROW(15:15))))),"",IF(ROW()-6&gt;COUNTIF(记录!$B$2:$B$16,$D$1),"",INDEX(记录!$G$2:$G$16,SMALL(IF($D$1=记录!$B$2:$B$16,ROW(记录!$B$7:$B$16)-6),ROW(15:15)))))</f>
        <v/>
      </c>
      <c r="G17" s="16">
        <f>SUMPRODUCT((记录!$B$2:$B$16=$D$1)*(记录!$E$2:$E$16=$D17)*记录!$H$2:$H$16)</f>
        <v>0</v>
      </c>
      <c r="H17" s="16">
        <f>SUMPRODUCT((记录!$B$2:$B$16=$D$1)*(记录!$E$2:$E$16=$D17)*记录!$J$2:$J$16)</f>
        <v>0</v>
      </c>
      <c r="I17" s="24" t="e">
        <f t="shared" si="0"/>
        <v>#VALUE!</v>
      </c>
      <c r="J17" s="25" t="str">
        <f t="array" ref="J17">IF(ISERROR(IF(ROW()-6&gt;COUNTIF(记录!$B$2:$B$16,$D$1),"",INDEX(记录!$L$2:$L$16,SMALL(IF($D$1=记录!$B$2:$B$16,ROW(记录!$B$7:$B$16)-6),ROW(15:15))))),"",IF(ROW()-6&gt;COUNTIF(记录!$B$2:$B$16,$D$1),"",INDEX(记录!$L$2:$L$16,SMALL(IF($D$1=记录!$B$2:$B$16,ROW(记录!$B$7:$B$16)-6),ROW(15:15)))))</f>
        <v/>
      </c>
      <c r="K17" s="14" t="str">
        <f t="array" ref="K17">IF(ISERROR(IF(ROW()-6&gt;COUNTIF(记录!$B$2:$B$16,$D$1),"",INDEX(记录!$M$2:$M$16,SMALL(IF($D$1=记录!$B$2:$B$16,ROW(记录!$B$7:$B$16)-6),ROW(15:15))))),"",IF(ROW()-6&gt;COUNTIF(记录!$B$2:$B$16,$D$1),"",INDEX(记录!$M$2:$M$16,SMALL(IF($D$1=记录!$B$2:$B$16,ROW(记录!$B$7:$B$16)-6),ROW(15:15)))))</f>
        <v/>
      </c>
      <c r="L17" s="14" t="str">
        <f t="array" ref="L17">IF(ISERROR(IF(ROW()-6&gt;COUNTIF(记录!$B$2:$B$16,$D$1),"",INDEX(记录!$N$2:$N$16,SMALL(IF($D$1=记录!$B$2:$B$16,ROW(记录!$B$7:$B$16)-6),ROW(15:15))))),"",IF(ROW()-6&gt;COUNTIF(记录!$B$2:$B$16,$D$1),"",INDEX(记录!$N$2:$N$16,SMALL(IF($D$1=记录!$B$2:$B$16,ROW(记录!$B$7:$B$16)-6),ROW(15:15)))))</f>
        <v/>
      </c>
      <c r="M17" s="26">
        <f ca="1">SUMPRODUCT((记录!$B$2:$B$16=$D$1)*(记录!$E$2:$E$16=$D17)*记录!$O$2:$O$16)</f>
        <v>0</v>
      </c>
      <c r="N17" s="27">
        <f ca="1">SUMPRODUCT((记录!$B$2:$B$16=$D$1)*(记录!$E$2:$E$16=$D17)*记录!$P$2:$P$16)</f>
        <v>0</v>
      </c>
      <c r="O17" s="27">
        <f ca="1">SUMPRODUCT((记录!$B$2:$B$16=$D$1)*(记录!$E$2:$E$16=$D17)*记录!$Q$2:$Q$16)</f>
        <v>0</v>
      </c>
      <c r="P17" s="27">
        <f ca="1">SUMPRODUCT((记录!$B$2:$B$16=$D$1)*(记录!$E$2:$E$16=$D17)*记录!$R$2:$R$16)</f>
        <v>0</v>
      </c>
      <c r="Q17" s="34">
        <f ca="1">SUMPRODUCT((记录!$B$2:$B$16=$D$1)*(记录!$E$2:$E$16=$D17)*记录!$S$2:$S$16)</f>
        <v>0</v>
      </c>
      <c r="R17" s="32"/>
      <c r="S17" s="28"/>
    </row>
    <row r="18" spans="1:19" ht="18" x14ac:dyDescent="0.35">
      <c r="A18" s="14" t="str">
        <f t="array" ref="A18">IF(ISERROR(IF(ROW()-6&gt;COUNTIF(记录!$B$2:$B$16,$D$1),"",INDEX(记录!$A$2:$A$16,SMALL(IF($D$1=记录!$B$2:$B$16,ROW(记录!$B$7:$B$16)-6),ROW(16:16))))),"",IF(ROW()-6&gt;COUNTIF(记录!$B$2:$B$16,$D$1),"",INDEX(记录!$A$2:$A$16,SMALL(IF($D$1=记录!$B$2:$B$16,ROW(记录!$B$7:$B$16)-6),ROW(16:16)))))</f>
        <v/>
      </c>
      <c r="B18" s="14" t="str">
        <f t="array" ref="B18">IF(ISERROR(IF(ROW()-6&gt;COUNTIF(记录!$B$2:$B$16,$D$1),"",INDEX(记录!$C$2:$C$16,SMALL(IF($D$1=记录!$B$2:$B$16,ROW(记录!$B$7:$B$16)-6),ROW(16:16))))),"",IF(ROW()-6&gt;COUNTIF(记录!$B$2:$B$16,$D$1),"",INDEX(记录!$C$2:$C$16,SMALL(IF($D$1=记录!$B$2:$B$16,ROW(记录!$B$7:$B$16)-6),ROW(16:16)))))</f>
        <v/>
      </c>
      <c r="C18" s="11" t="str">
        <f t="array" ref="C18">IF(ISERROR(IF(ROW()-6&gt;COUNTIF(记录!$B$2:$B$16,$D$1),"",INDEX(记录!$D$2:$D$16,SMALL(IF($D$1=记录!$B$2:$B$16,ROW(记录!$B$7:$B$16)-6),ROW(16:16))))),"",IF(ROW()-6&gt;COUNTIF(记录!$B$2:$B$16,$D$1),"",INDEX(记录!$D$2:$D$16,SMALL(IF($D$1=记录!$B$2:$B$16,ROW(记录!$B$7:$B$16)-6),ROW(16:16)))))</f>
        <v/>
      </c>
      <c r="D18" s="14" t="str">
        <f t="array" ref="D18">IF(ISERROR(IF(ROW()-6&gt;COUNTIF(记录!$B$2:$B$16,$D$1),"",INDEX(记录!$E$2:$E$16,SMALL(IF($D$1=记录!$B$2:$B$16,ROW(记录!$B$7:$B$16)-6),ROW(16:16))))),"",IF(ROW()-6&gt;COUNTIF(记录!$B$2:$B$16,$D$1),"",INDEX(记录!$E$2:$E$16,SMALL(IF($D$1=记录!$B$2:$B$16,ROW(记录!$B$7:$B$16)-6),ROW(16:16)))))</f>
        <v/>
      </c>
      <c r="E18" s="14" t="str">
        <f t="array" ref="E18">IF(ISERROR(IF(ROW()-6&gt;COUNTIF(记录!$B$2:$B$16,$D$1),"",INDEX(记录!$F$2:$F$16,SMALL(IF($D$1=记录!$B$2:$B$16,ROW(记录!$B$7:$B$16)-6),ROW(16:16))))),"",IF(ROW()-6&gt;COUNTIF(记录!$B$2:$B$16,$D$1),"",INDEX(记录!$F$2:$F$16,SMALL(IF($D$1=记录!$B$2:$B$16,ROW(记录!$B$7:$B$16)-6),ROW(16:16)))))</f>
        <v/>
      </c>
      <c r="F18" s="17" t="str">
        <f t="array" ref="F18">IF(ISERROR(IF(ROW()-6&gt;COUNTIF(记录!$B$2:$B$16,$D$1),"",INDEX(记录!$G$2:$G$16,SMALL(IF($D$1=记录!$B$2:$B$16,ROW(记录!$B$7:$B$16)-6),ROW(16:16))))),"",IF(ROW()-6&gt;COUNTIF(记录!$B$2:$B$16,$D$1),"",INDEX(记录!$G$2:$G$16,SMALL(IF($D$1=记录!$B$2:$B$16,ROW(记录!$B$7:$B$16)-6),ROW(16:16)))))</f>
        <v/>
      </c>
      <c r="G18" s="16">
        <f>SUMPRODUCT((记录!$B$2:$B$16=$D$1)*(记录!$E$2:$E$16=$D18)*记录!$H$2:$H$16)</f>
        <v>0</v>
      </c>
      <c r="H18" s="16">
        <f>SUMPRODUCT((记录!$B$2:$B$16=$D$1)*(记录!$E$2:$E$16=$D18)*记录!$J$2:$J$16)</f>
        <v>0</v>
      </c>
      <c r="I18" s="24" t="e">
        <f t="shared" si="0"/>
        <v>#VALUE!</v>
      </c>
      <c r="J18" s="25" t="str">
        <f t="array" ref="J18">IF(ISERROR(IF(ROW()-6&gt;COUNTIF(记录!$B$2:$B$16,$D$1),"",INDEX(记录!$L$2:$L$16,SMALL(IF($D$1=记录!$B$2:$B$16,ROW(记录!$B$7:$B$16)-6),ROW(16:16))))),"",IF(ROW()-6&gt;COUNTIF(记录!$B$2:$B$16,$D$1),"",INDEX(记录!$L$2:$L$16,SMALL(IF($D$1=记录!$B$2:$B$16,ROW(记录!$B$7:$B$16)-6),ROW(16:16)))))</f>
        <v/>
      </c>
      <c r="K18" s="14" t="str">
        <f t="array" ref="K18">IF(ISERROR(IF(ROW()-6&gt;COUNTIF(记录!$B$2:$B$16,$D$1),"",INDEX(记录!$M$2:$M$16,SMALL(IF($D$1=记录!$B$2:$B$16,ROW(记录!$B$7:$B$16)-6),ROW(16:16))))),"",IF(ROW()-6&gt;COUNTIF(记录!$B$2:$B$16,$D$1),"",INDEX(记录!$M$2:$M$16,SMALL(IF($D$1=记录!$B$2:$B$16,ROW(记录!$B$7:$B$16)-6),ROW(16:16)))))</f>
        <v/>
      </c>
      <c r="L18" s="14" t="str">
        <f t="array" ref="L18">IF(ISERROR(IF(ROW()-6&gt;COUNTIF(记录!$B$2:$B$16,$D$1),"",INDEX(记录!$N$2:$N$16,SMALL(IF($D$1=记录!$B$2:$B$16,ROW(记录!$B$7:$B$16)-6),ROW(16:16))))),"",IF(ROW()-6&gt;COUNTIF(记录!$B$2:$B$16,$D$1),"",INDEX(记录!$N$2:$N$16,SMALL(IF($D$1=记录!$B$2:$B$16,ROW(记录!$B$7:$B$16)-6),ROW(16:16)))))</f>
        <v/>
      </c>
      <c r="M18" s="26">
        <f ca="1">SUMPRODUCT((记录!$B$2:$B$16=$D$1)*(记录!$E$2:$E$16=$D18)*记录!$O$2:$O$16)</f>
        <v>0</v>
      </c>
      <c r="N18" s="27">
        <f ca="1">SUMPRODUCT((记录!$B$2:$B$16=$D$1)*(记录!$E$2:$E$16=$D18)*记录!$P$2:$P$16)</f>
        <v>0</v>
      </c>
      <c r="O18" s="27">
        <f ca="1">SUMPRODUCT((记录!$B$2:$B$16=$D$1)*(记录!$E$2:$E$16=$D18)*记录!$Q$2:$Q$16)</f>
        <v>0</v>
      </c>
      <c r="P18" s="27">
        <f ca="1">SUMPRODUCT((记录!$B$2:$B$16=$D$1)*(记录!$E$2:$E$16=$D18)*记录!$R$2:$R$16)</f>
        <v>0</v>
      </c>
      <c r="Q18" s="34">
        <f ca="1">SUMPRODUCT((记录!$B$2:$B$16=$D$1)*(记录!$E$2:$E$16=$D18)*记录!$S$2:$S$16)</f>
        <v>0</v>
      </c>
      <c r="R18" s="32"/>
      <c r="S18" s="28"/>
    </row>
    <row r="19" spans="1:19" ht="18" x14ac:dyDescent="0.35">
      <c r="A19" s="14" t="str">
        <f t="array" ref="A19">IF(ISERROR(IF(ROW()-6&gt;COUNTIF(记录!$B$2:$B$16,$D$1),"",INDEX(记录!$A$2:$A$16,SMALL(IF($D$1=记录!$B$2:$B$16,ROW(记录!$B$7:$B$16)-6),ROW(17:17))))),"",IF(ROW()-6&gt;COUNTIF(记录!$B$2:$B$16,$D$1),"",INDEX(记录!$A$2:$A$16,SMALL(IF($D$1=记录!$B$2:$B$16,ROW(记录!$B$7:$B$16)-6),ROW(17:17)))))</f>
        <v/>
      </c>
      <c r="B19" s="14" t="str">
        <f t="array" ref="B19">IF(ISERROR(IF(ROW()-6&gt;COUNTIF(记录!$B$2:$B$16,$D$1),"",INDEX(记录!$C$2:$C$16,SMALL(IF($D$1=记录!$B$2:$B$16,ROW(记录!$B$7:$B$16)-6),ROW(17:17))))),"",IF(ROW()-6&gt;COUNTIF(记录!$B$2:$B$16,$D$1),"",INDEX(记录!$C$2:$C$16,SMALL(IF($D$1=记录!$B$2:$B$16,ROW(记录!$B$7:$B$16)-6),ROW(17:17)))))</f>
        <v/>
      </c>
      <c r="C19" s="11" t="str">
        <f t="array" ref="C19">IF(ISERROR(IF(ROW()-6&gt;COUNTIF(记录!$B$2:$B$16,$D$1),"",INDEX(记录!$D$2:$D$16,SMALL(IF($D$1=记录!$B$2:$B$16,ROW(记录!$B$7:$B$16)-6),ROW(17:17))))),"",IF(ROW()-6&gt;COUNTIF(记录!$B$2:$B$16,$D$1),"",INDEX(记录!$D$2:$D$16,SMALL(IF($D$1=记录!$B$2:$B$16,ROW(记录!$B$7:$B$16)-6),ROW(17:17)))))</f>
        <v/>
      </c>
      <c r="D19" s="14" t="str">
        <f t="array" ref="D19">IF(ISERROR(IF(ROW()-6&gt;COUNTIF(记录!$B$2:$B$16,$D$1),"",INDEX(记录!$E$2:$E$16,SMALL(IF($D$1=记录!$B$2:$B$16,ROW(记录!$B$7:$B$16)-6),ROW(17:17))))),"",IF(ROW()-6&gt;COUNTIF(记录!$B$2:$B$16,$D$1),"",INDEX(记录!$E$2:$E$16,SMALL(IF($D$1=记录!$B$2:$B$16,ROW(记录!$B$7:$B$16)-6),ROW(17:17)))))</f>
        <v/>
      </c>
      <c r="E19" s="14" t="str">
        <f t="array" ref="E19">IF(ISERROR(IF(ROW()-6&gt;COUNTIF(记录!$B$2:$B$16,$D$1),"",INDEX(记录!$F$2:$F$16,SMALL(IF($D$1=记录!$B$2:$B$16,ROW(记录!$B$7:$B$16)-6),ROW(17:17))))),"",IF(ROW()-6&gt;COUNTIF(记录!$B$2:$B$16,$D$1),"",INDEX(记录!$F$2:$F$16,SMALL(IF($D$1=记录!$B$2:$B$16,ROW(记录!$B$7:$B$16)-6),ROW(17:17)))))</f>
        <v/>
      </c>
      <c r="F19" s="17" t="str">
        <f t="array" ref="F19">IF(ISERROR(IF(ROW()-6&gt;COUNTIF(记录!$B$2:$B$16,$D$1),"",INDEX(记录!$G$2:$G$16,SMALL(IF($D$1=记录!$B$2:$B$16,ROW(记录!$B$7:$B$16)-6),ROW(17:17))))),"",IF(ROW()-6&gt;COUNTIF(记录!$B$2:$B$16,$D$1),"",INDEX(记录!$G$2:$G$16,SMALL(IF($D$1=记录!$B$2:$B$16,ROW(记录!$B$7:$B$16)-6),ROW(17:17)))))</f>
        <v/>
      </c>
      <c r="G19" s="16">
        <f>SUMPRODUCT((记录!$B$2:$B$16=$D$1)*(记录!$E$2:$E$16=$D19)*记录!$H$2:$H$16)</f>
        <v>0</v>
      </c>
      <c r="H19" s="16">
        <f>SUMPRODUCT((记录!$B$2:$B$16=$D$1)*(记录!$E$2:$E$16=$D19)*记录!$J$2:$J$16)</f>
        <v>0</v>
      </c>
      <c r="I19" s="24" t="e">
        <f t="shared" si="0"/>
        <v>#VALUE!</v>
      </c>
      <c r="J19" s="25" t="str">
        <f t="array" ref="J19">IF(ISERROR(IF(ROW()-6&gt;COUNTIF(记录!$B$2:$B$16,$D$1),"",INDEX(记录!$L$2:$L$16,SMALL(IF($D$1=记录!$B$2:$B$16,ROW(记录!$B$7:$B$16)-6),ROW(17:17))))),"",IF(ROW()-6&gt;COUNTIF(记录!$B$2:$B$16,$D$1),"",INDEX(记录!$L$2:$L$16,SMALL(IF($D$1=记录!$B$2:$B$16,ROW(记录!$B$7:$B$16)-6),ROW(17:17)))))</f>
        <v/>
      </c>
      <c r="K19" s="14" t="str">
        <f t="array" ref="K19">IF(ISERROR(IF(ROW()-6&gt;COUNTIF(记录!$B$2:$B$16,$D$1),"",INDEX(记录!$M$2:$M$16,SMALL(IF($D$1=记录!$B$2:$B$16,ROW(记录!$B$7:$B$16)-6),ROW(17:17))))),"",IF(ROW()-6&gt;COUNTIF(记录!$B$2:$B$16,$D$1),"",INDEX(记录!$M$2:$M$16,SMALL(IF($D$1=记录!$B$2:$B$16,ROW(记录!$B$7:$B$16)-6),ROW(17:17)))))</f>
        <v/>
      </c>
      <c r="L19" s="14" t="str">
        <f t="array" ref="L19">IF(ISERROR(IF(ROW()-6&gt;COUNTIF(记录!$B$2:$B$16,$D$1),"",INDEX(记录!$N$2:$N$16,SMALL(IF($D$1=记录!$B$2:$B$16,ROW(记录!$B$7:$B$16)-6),ROW(17:17))))),"",IF(ROW()-6&gt;COUNTIF(记录!$B$2:$B$16,$D$1),"",INDEX(记录!$N$2:$N$16,SMALL(IF($D$1=记录!$B$2:$B$16,ROW(记录!$B$7:$B$16)-6),ROW(17:17)))))</f>
        <v/>
      </c>
      <c r="M19" s="26">
        <f ca="1">SUMPRODUCT((记录!$B$2:$B$16=$D$1)*(记录!$E$2:$E$16=$D19)*记录!$O$2:$O$16)</f>
        <v>0</v>
      </c>
      <c r="N19" s="27">
        <f ca="1">SUMPRODUCT((记录!$B$2:$B$16=$D$1)*(记录!$E$2:$E$16=$D19)*记录!$P$2:$P$16)</f>
        <v>0</v>
      </c>
      <c r="O19" s="27">
        <f ca="1">SUMPRODUCT((记录!$B$2:$B$16=$D$1)*(记录!$E$2:$E$16=$D19)*记录!$Q$2:$Q$16)</f>
        <v>0</v>
      </c>
      <c r="P19" s="27">
        <f ca="1">SUMPRODUCT((记录!$B$2:$B$16=$D$1)*(记录!$E$2:$E$16=$D19)*记录!$R$2:$R$16)</f>
        <v>0</v>
      </c>
      <c r="Q19" s="34">
        <f ca="1">SUMPRODUCT((记录!$B$2:$B$16=$D$1)*(记录!$E$2:$E$16=$D19)*记录!$S$2:$S$16)</f>
        <v>0</v>
      </c>
      <c r="R19" s="32"/>
      <c r="S19" s="28"/>
    </row>
    <row r="20" spans="1:19" ht="18" x14ac:dyDescent="0.35">
      <c r="A20" s="14" t="str">
        <f t="array" ref="A20">IF(ISERROR(IF(ROW()-6&gt;COUNTIF(记录!$B$2:$B$16,$D$1),"",INDEX(记录!$A$2:$A$16,SMALL(IF($D$1=记录!$B$2:$B$16,ROW(记录!$B$7:$B$16)-6),ROW(18:18))))),"",IF(ROW()-6&gt;COUNTIF(记录!$B$2:$B$16,$D$1),"",INDEX(记录!$A$2:$A$16,SMALL(IF($D$1=记录!$B$2:$B$16,ROW(记录!$B$7:$B$16)-6),ROW(18:18)))))</f>
        <v/>
      </c>
      <c r="B20" s="14" t="str">
        <f t="array" ref="B20">IF(ISERROR(IF(ROW()-6&gt;COUNTIF(记录!$B$2:$B$16,$D$1),"",INDEX(记录!$C$2:$C$16,SMALL(IF($D$1=记录!$B$2:$B$16,ROW(记录!$B$7:$B$16)-6),ROW(18:18))))),"",IF(ROW()-6&gt;COUNTIF(记录!$B$2:$B$16,$D$1),"",INDEX(记录!$C$2:$C$16,SMALL(IF($D$1=记录!$B$2:$B$16,ROW(记录!$B$7:$B$16)-6),ROW(18:18)))))</f>
        <v/>
      </c>
      <c r="C20" s="11" t="str">
        <f t="array" ref="C20">IF(ISERROR(IF(ROW()-6&gt;COUNTIF(记录!$B$2:$B$16,$D$1),"",INDEX(记录!$D$2:$D$16,SMALL(IF($D$1=记录!$B$2:$B$16,ROW(记录!$B$7:$B$16)-6),ROW(18:18))))),"",IF(ROW()-6&gt;COUNTIF(记录!$B$2:$B$16,$D$1),"",INDEX(记录!$D$2:$D$16,SMALL(IF($D$1=记录!$B$2:$B$16,ROW(记录!$B$7:$B$16)-6),ROW(18:18)))))</f>
        <v/>
      </c>
      <c r="D20" s="14" t="str">
        <f t="array" ref="D20">IF(ISERROR(IF(ROW()-6&gt;COUNTIF(记录!$B$2:$B$16,$D$1),"",INDEX(记录!$E$2:$E$16,SMALL(IF($D$1=记录!$B$2:$B$16,ROW(记录!$B$7:$B$16)-6),ROW(18:18))))),"",IF(ROW()-6&gt;COUNTIF(记录!$B$2:$B$16,$D$1),"",INDEX(记录!$E$2:$E$16,SMALL(IF($D$1=记录!$B$2:$B$16,ROW(记录!$B$7:$B$16)-6),ROW(18:18)))))</f>
        <v/>
      </c>
      <c r="E20" s="14" t="str">
        <f t="array" ref="E20">IF(ISERROR(IF(ROW()-6&gt;COUNTIF(记录!$B$2:$B$16,$D$1),"",INDEX(记录!$F$2:$F$16,SMALL(IF($D$1=记录!$B$2:$B$16,ROW(记录!$B$7:$B$16)-6),ROW(18:18))))),"",IF(ROW()-6&gt;COUNTIF(记录!$B$2:$B$16,$D$1),"",INDEX(记录!$F$2:$F$16,SMALL(IF($D$1=记录!$B$2:$B$16,ROW(记录!$B$7:$B$16)-6),ROW(18:18)))))</f>
        <v/>
      </c>
      <c r="F20" s="17" t="str">
        <f t="array" ref="F20">IF(ISERROR(IF(ROW()-6&gt;COUNTIF(记录!$B$2:$B$16,$D$1),"",INDEX(记录!$G$2:$G$16,SMALL(IF($D$1=记录!$B$2:$B$16,ROW(记录!$B$7:$B$16)-6),ROW(18:18))))),"",IF(ROW()-6&gt;COUNTIF(记录!$B$2:$B$16,$D$1),"",INDEX(记录!$G$2:$G$16,SMALL(IF($D$1=记录!$B$2:$B$16,ROW(记录!$B$7:$B$16)-6),ROW(18:18)))))</f>
        <v/>
      </c>
      <c r="G20" s="16">
        <f>SUMPRODUCT((记录!$B$2:$B$16=$D$1)*(记录!$E$2:$E$16=$D20)*记录!$H$2:$H$16)</f>
        <v>0</v>
      </c>
      <c r="H20" s="16">
        <f>SUMPRODUCT((记录!$B$2:$B$16=$D$1)*(记录!$E$2:$E$16=$D20)*记录!$J$2:$J$16)</f>
        <v>0</v>
      </c>
      <c r="I20" s="24" t="e">
        <f t="shared" si="0"/>
        <v>#VALUE!</v>
      </c>
      <c r="J20" s="25" t="str">
        <f t="array" ref="J20">IF(ISERROR(IF(ROW()-6&gt;COUNTIF(记录!$B$2:$B$16,$D$1),"",INDEX(记录!$L$2:$L$16,SMALL(IF($D$1=记录!$B$2:$B$16,ROW(记录!$B$7:$B$16)-6),ROW(18:18))))),"",IF(ROW()-6&gt;COUNTIF(记录!$B$2:$B$16,$D$1),"",INDEX(记录!$L$2:$L$16,SMALL(IF($D$1=记录!$B$2:$B$16,ROW(记录!$B$7:$B$16)-6),ROW(18:18)))))</f>
        <v/>
      </c>
      <c r="K20" s="14" t="str">
        <f t="array" ref="K20">IF(ISERROR(IF(ROW()-6&gt;COUNTIF(记录!$B$2:$B$16,$D$1),"",INDEX(记录!$M$2:$M$16,SMALL(IF($D$1=记录!$B$2:$B$16,ROW(记录!$B$7:$B$16)-6),ROW(18:18))))),"",IF(ROW()-6&gt;COUNTIF(记录!$B$2:$B$16,$D$1),"",INDEX(记录!$M$2:$M$16,SMALL(IF($D$1=记录!$B$2:$B$16,ROW(记录!$B$7:$B$16)-6),ROW(18:18)))))</f>
        <v/>
      </c>
      <c r="L20" s="14" t="str">
        <f t="array" ref="L20">IF(ISERROR(IF(ROW()-6&gt;COUNTIF(记录!$B$2:$B$16,$D$1),"",INDEX(记录!$N$2:$N$16,SMALL(IF($D$1=记录!$B$2:$B$16,ROW(记录!$B$7:$B$16)-6),ROW(18:18))))),"",IF(ROW()-6&gt;COUNTIF(记录!$B$2:$B$16,$D$1),"",INDEX(记录!$N$2:$N$16,SMALL(IF($D$1=记录!$B$2:$B$16,ROW(记录!$B$7:$B$16)-6),ROW(18:18)))))</f>
        <v/>
      </c>
      <c r="M20" s="26">
        <f ca="1">SUMPRODUCT((记录!$B$2:$B$16=$D$1)*(记录!$E$2:$E$16=$D20)*记录!$O$2:$O$16)</f>
        <v>0</v>
      </c>
      <c r="N20" s="27">
        <f ca="1">SUMPRODUCT((记录!$B$2:$B$16=$D$1)*(记录!$E$2:$E$16=$D20)*记录!$P$2:$P$16)</f>
        <v>0</v>
      </c>
      <c r="O20" s="27">
        <f ca="1">SUMPRODUCT((记录!$B$2:$B$16=$D$1)*(记录!$E$2:$E$16=$D20)*记录!$Q$2:$Q$16)</f>
        <v>0</v>
      </c>
      <c r="P20" s="27">
        <f ca="1">SUMPRODUCT((记录!$B$2:$B$16=$D$1)*(记录!$E$2:$E$16=$D20)*记录!$R$2:$R$16)</f>
        <v>0</v>
      </c>
      <c r="Q20" s="34">
        <f ca="1">SUMPRODUCT((记录!$B$2:$B$16=$D$1)*(记录!$E$2:$E$16=$D20)*记录!$S$2:$S$16)</f>
        <v>0</v>
      </c>
      <c r="R20" s="32"/>
      <c r="S20" s="28"/>
    </row>
    <row r="21" spans="1:19" ht="18" x14ac:dyDescent="0.35">
      <c r="A21" s="14" t="str">
        <f t="array" ref="A21">IF(ISERROR(IF(ROW()-6&gt;COUNTIF(记录!$B$2:$B$16,$D$1),"",INDEX(记录!$A$2:$A$16,SMALL(IF($D$1=记录!$B$2:$B$16,ROW(记录!$B$7:$B$16)-6),ROW(19:19))))),"",IF(ROW()-6&gt;COUNTIF(记录!$B$2:$B$16,$D$1),"",INDEX(记录!$A$2:$A$16,SMALL(IF($D$1=记录!$B$2:$B$16,ROW(记录!$B$7:$B$16)-6),ROW(19:19)))))</f>
        <v/>
      </c>
      <c r="B21" s="14" t="str">
        <f t="array" ref="B21">IF(ISERROR(IF(ROW()-6&gt;COUNTIF(记录!$B$2:$B$16,$D$1),"",INDEX(记录!$C$2:$C$16,SMALL(IF($D$1=记录!$B$2:$B$16,ROW(记录!$B$7:$B$16)-6),ROW(19:19))))),"",IF(ROW()-6&gt;COUNTIF(记录!$B$2:$B$16,$D$1),"",INDEX(记录!$C$2:$C$16,SMALL(IF($D$1=记录!$B$2:$B$16,ROW(记录!$B$7:$B$16)-6),ROW(19:19)))))</f>
        <v/>
      </c>
      <c r="C21" s="11" t="str">
        <f t="array" ref="C21">IF(ISERROR(IF(ROW()-6&gt;COUNTIF(记录!$B$2:$B$16,$D$1),"",INDEX(记录!$D$2:$D$16,SMALL(IF($D$1=记录!$B$2:$B$16,ROW(记录!$B$7:$B$16)-6),ROW(19:19))))),"",IF(ROW()-6&gt;COUNTIF(记录!$B$2:$B$16,$D$1),"",INDEX(记录!$D$2:$D$16,SMALL(IF($D$1=记录!$B$2:$B$16,ROW(记录!$B$7:$B$16)-6),ROW(19:19)))))</f>
        <v/>
      </c>
      <c r="D21" s="14" t="str">
        <f t="array" ref="D21">IF(ISERROR(IF(ROW()-6&gt;COUNTIF(记录!$B$2:$B$16,$D$1),"",INDEX(记录!$E$2:$E$16,SMALL(IF($D$1=记录!$B$2:$B$16,ROW(记录!$B$7:$B$16)-6),ROW(19:19))))),"",IF(ROW()-6&gt;COUNTIF(记录!$B$2:$B$16,$D$1),"",INDEX(记录!$E$2:$E$16,SMALL(IF($D$1=记录!$B$2:$B$16,ROW(记录!$B$7:$B$16)-6),ROW(19:19)))))</f>
        <v/>
      </c>
      <c r="E21" s="14" t="str">
        <f t="array" ref="E21">IF(ISERROR(IF(ROW()-6&gt;COUNTIF(记录!$B$2:$B$16,$D$1),"",INDEX(记录!$F$2:$F$16,SMALL(IF($D$1=记录!$B$2:$B$16,ROW(记录!$B$7:$B$16)-6),ROW(19:19))))),"",IF(ROW()-6&gt;COUNTIF(记录!$B$2:$B$16,$D$1),"",INDEX(记录!$F$2:$F$16,SMALL(IF($D$1=记录!$B$2:$B$16,ROW(记录!$B$7:$B$16)-6),ROW(19:19)))))</f>
        <v/>
      </c>
      <c r="F21" s="17" t="str">
        <f t="array" ref="F21">IF(ISERROR(IF(ROW()-6&gt;COUNTIF(记录!$B$2:$B$16,$D$1),"",INDEX(记录!$G$2:$G$16,SMALL(IF($D$1=记录!$B$2:$B$16,ROW(记录!$B$7:$B$16)-6),ROW(19:19))))),"",IF(ROW()-6&gt;COUNTIF(记录!$B$2:$B$16,$D$1),"",INDEX(记录!$G$2:$G$16,SMALL(IF($D$1=记录!$B$2:$B$16,ROW(记录!$B$7:$B$16)-6),ROW(19:19)))))</f>
        <v/>
      </c>
      <c r="G21" s="16">
        <f>SUMPRODUCT((记录!$B$2:$B$16=$D$1)*(记录!$E$2:$E$16=$D21)*记录!$H$2:$H$16)</f>
        <v>0</v>
      </c>
      <c r="H21" s="16">
        <f>SUMPRODUCT((记录!$B$2:$B$16=$D$1)*(记录!$E$2:$E$16=$D21)*记录!$J$2:$J$16)</f>
        <v>0</v>
      </c>
      <c r="I21" s="24" t="e">
        <f t="shared" si="0"/>
        <v>#VALUE!</v>
      </c>
      <c r="J21" s="25" t="str">
        <f t="array" ref="J21">IF(ISERROR(IF(ROW()-6&gt;COUNTIF(记录!$B$2:$B$16,$D$1),"",INDEX(记录!$L$2:$L$16,SMALL(IF($D$1=记录!$B$2:$B$16,ROW(记录!$B$7:$B$16)-6),ROW(19:19))))),"",IF(ROW()-6&gt;COUNTIF(记录!$B$2:$B$16,$D$1),"",INDEX(记录!$L$2:$L$16,SMALL(IF($D$1=记录!$B$2:$B$16,ROW(记录!$B$7:$B$16)-6),ROW(19:19)))))</f>
        <v/>
      </c>
      <c r="K21" s="14" t="str">
        <f t="array" ref="K21">IF(ISERROR(IF(ROW()-6&gt;COUNTIF(记录!$B$2:$B$16,$D$1),"",INDEX(记录!$M$2:$M$16,SMALL(IF($D$1=记录!$B$2:$B$16,ROW(记录!$B$7:$B$16)-6),ROW(19:19))))),"",IF(ROW()-6&gt;COUNTIF(记录!$B$2:$B$16,$D$1),"",INDEX(记录!$M$2:$M$16,SMALL(IF($D$1=记录!$B$2:$B$16,ROW(记录!$B$7:$B$16)-6),ROW(19:19)))))</f>
        <v/>
      </c>
      <c r="L21" s="14" t="str">
        <f t="array" ref="L21">IF(ISERROR(IF(ROW()-6&gt;COUNTIF(记录!$B$2:$B$16,$D$1),"",INDEX(记录!$N$2:$N$16,SMALL(IF($D$1=记录!$B$2:$B$16,ROW(记录!$B$7:$B$16)-6),ROW(19:19))))),"",IF(ROW()-6&gt;COUNTIF(记录!$B$2:$B$16,$D$1),"",INDEX(记录!$N$2:$N$16,SMALL(IF($D$1=记录!$B$2:$B$16,ROW(记录!$B$7:$B$16)-6),ROW(19:19)))))</f>
        <v/>
      </c>
      <c r="M21" s="26">
        <f ca="1">SUMPRODUCT((记录!$B$2:$B$16=$D$1)*(记录!$E$2:$E$16=$D21)*记录!$O$2:$O$16)</f>
        <v>0</v>
      </c>
      <c r="N21" s="27">
        <f ca="1">SUMPRODUCT((记录!$B$2:$B$16=$D$1)*(记录!$E$2:$E$16=$D21)*记录!$P$2:$P$16)</f>
        <v>0</v>
      </c>
      <c r="O21" s="27">
        <f ca="1">SUMPRODUCT((记录!$B$2:$B$16=$D$1)*(记录!$E$2:$E$16=$D21)*记录!$Q$2:$Q$16)</f>
        <v>0</v>
      </c>
      <c r="P21" s="27">
        <f ca="1">SUMPRODUCT((记录!$B$2:$B$16=$D$1)*(记录!$E$2:$E$16=$D21)*记录!$R$2:$R$16)</f>
        <v>0</v>
      </c>
      <c r="Q21" s="34">
        <f ca="1">SUMPRODUCT((记录!$B$2:$B$16=$D$1)*(记录!$E$2:$E$16=$D21)*记录!$S$2:$S$16)</f>
        <v>0</v>
      </c>
      <c r="R21" s="32"/>
      <c r="S21" s="28"/>
    </row>
    <row r="22" spans="1:19" ht="18" x14ac:dyDescent="0.35">
      <c r="A22" s="14" t="str">
        <f t="array" ref="A22">IF(ISERROR(IF(ROW()-6&gt;COUNTIF(记录!$B$2:$B$16,$D$1),"",INDEX(记录!$A$2:$A$16,SMALL(IF($D$1=记录!$B$2:$B$16,ROW(记录!$B$7:$B$16)-6),ROW(20:20))))),"",IF(ROW()-6&gt;COUNTIF(记录!$B$2:$B$16,$D$1),"",INDEX(记录!$A$2:$A$16,SMALL(IF($D$1=记录!$B$2:$B$16,ROW(记录!$B$7:$B$16)-6),ROW(20:20)))))</f>
        <v/>
      </c>
      <c r="B22" s="14" t="str">
        <f t="array" ref="B22">IF(ISERROR(IF(ROW()-6&gt;COUNTIF(记录!$B$2:$B$16,$D$1),"",INDEX(记录!$C$2:$C$16,SMALL(IF($D$1=记录!$B$2:$B$16,ROW(记录!$B$7:$B$16)-6),ROW(20:20))))),"",IF(ROW()-6&gt;COUNTIF(记录!$B$2:$B$16,$D$1),"",INDEX(记录!$C$2:$C$16,SMALL(IF($D$1=记录!$B$2:$B$16,ROW(记录!$B$7:$B$16)-6),ROW(20:20)))))</f>
        <v/>
      </c>
      <c r="C22" s="11" t="str">
        <f t="array" ref="C22">IF(ISERROR(IF(ROW()-6&gt;COUNTIF(记录!$B$2:$B$16,$D$1),"",INDEX(记录!$D$2:$D$16,SMALL(IF($D$1=记录!$B$2:$B$16,ROW(记录!$B$7:$B$16)-6),ROW(20:20))))),"",IF(ROW()-6&gt;COUNTIF(记录!$B$2:$B$16,$D$1),"",INDEX(记录!$D$2:$D$16,SMALL(IF($D$1=记录!$B$2:$B$16,ROW(记录!$B$7:$B$16)-6),ROW(20:20)))))</f>
        <v/>
      </c>
      <c r="D22" s="14" t="str">
        <f t="array" ref="D22">IF(ISERROR(IF(ROW()-6&gt;COUNTIF(记录!$B$2:$B$16,$D$1),"",INDEX(记录!$E$2:$E$16,SMALL(IF($D$1=记录!$B$2:$B$16,ROW(记录!$B$7:$B$16)-6),ROW(20:20))))),"",IF(ROW()-6&gt;COUNTIF(记录!$B$2:$B$16,$D$1),"",INDEX(记录!$E$2:$E$16,SMALL(IF($D$1=记录!$B$2:$B$16,ROW(记录!$B$7:$B$16)-6),ROW(20:20)))))</f>
        <v/>
      </c>
      <c r="E22" s="14" t="str">
        <f t="array" ref="E22">IF(ISERROR(IF(ROW()-6&gt;COUNTIF(记录!$B$2:$B$16,$D$1),"",INDEX(记录!$F$2:$F$16,SMALL(IF($D$1=记录!$B$2:$B$16,ROW(记录!$B$7:$B$16)-6),ROW(20:20))))),"",IF(ROW()-6&gt;COUNTIF(记录!$B$2:$B$16,$D$1),"",INDEX(记录!$F$2:$F$16,SMALL(IF($D$1=记录!$B$2:$B$16,ROW(记录!$B$7:$B$16)-6),ROW(20:20)))))</f>
        <v/>
      </c>
      <c r="F22" s="17" t="str">
        <f t="array" ref="F22">IF(ISERROR(IF(ROW()-6&gt;COUNTIF(记录!$B$2:$B$16,$D$1),"",INDEX(记录!$G$2:$G$16,SMALL(IF($D$1=记录!$B$2:$B$16,ROW(记录!$B$7:$B$16)-6),ROW(20:20))))),"",IF(ROW()-6&gt;COUNTIF(记录!$B$2:$B$16,$D$1),"",INDEX(记录!$G$2:$G$16,SMALL(IF($D$1=记录!$B$2:$B$16,ROW(记录!$B$7:$B$16)-6),ROW(20:20)))))</f>
        <v/>
      </c>
      <c r="G22" s="16">
        <f>SUMPRODUCT((记录!$B$2:$B$16=$D$1)*(记录!$E$2:$E$16=$D22)*记录!$H$2:$H$16)</f>
        <v>0</v>
      </c>
      <c r="H22" s="16">
        <f>SUMPRODUCT((记录!$B$2:$B$16=$D$1)*(记录!$E$2:$E$16=$D22)*记录!$J$2:$J$16)</f>
        <v>0</v>
      </c>
      <c r="I22" s="24" t="e">
        <f t="shared" si="0"/>
        <v>#VALUE!</v>
      </c>
      <c r="J22" s="25" t="str">
        <f t="array" ref="J22">IF(ISERROR(IF(ROW()-6&gt;COUNTIF(记录!$B$2:$B$16,$D$1),"",INDEX(记录!$L$2:$L$16,SMALL(IF($D$1=记录!$B$2:$B$16,ROW(记录!$B$7:$B$16)-6),ROW(20:20))))),"",IF(ROW()-6&gt;COUNTIF(记录!$B$2:$B$16,$D$1),"",INDEX(记录!$L$2:$L$16,SMALL(IF($D$1=记录!$B$2:$B$16,ROW(记录!$B$7:$B$16)-6),ROW(20:20)))))</f>
        <v/>
      </c>
      <c r="K22" s="14" t="str">
        <f t="array" ref="K22">IF(ISERROR(IF(ROW()-6&gt;COUNTIF(记录!$B$2:$B$16,$D$1),"",INDEX(记录!$M$2:$M$16,SMALL(IF($D$1=记录!$B$2:$B$16,ROW(记录!$B$7:$B$16)-6),ROW(20:20))))),"",IF(ROW()-6&gt;COUNTIF(记录!$B$2:$B$16,$D$1),"",INDEX(记录!$M$2:$M$16,SMALL(IF($D$1=记录!$B$2:$B$16,ROW(记录!$B$7:$B$16)-6),ROW(20:20)))))</f>
        <v/>
      </c>
      <c r="L22" s="14" t="str">
        <f t="array" ref="L22">IF(ISERROR(IF(ROW()-6&gt;COUNTIF(记录!$B$2:$B$16,$D$1),"",INDEX(记录!$N$2:$N$16,SMALL(IF($D$1=记录!$B$2:$B$16,ROW(记录!$B$7:$B$16)-6),ROW(20:20))))),"",IF(ROW()-6&gt;COUNTIF(记录!$B$2:$B$16,$D$1),"",INDEX(记录!$N$2:$N$16,SMALL(IF($D$1=记录!$B$2:$B$16,ROW(记录!$B$7:$B$16)-6),ROW(20:20)))))</f>
        <v/>
      </c>
      <c r="M22" s="26">
        <f ca="1">SUMPRODUCT((记录!$B$2:$B$16=$D$1)*(记录!$E$2:$E$16=$D22)*记录!$O$2:$O$16)</f>
        <v>0</v>
      </c>
      <c r="N22" s="27">
        <f ca="1">SUMPRODUCT((记录!$B$2:$B$16=$D$1)*(记录!$E$2:$E$16=$D22)*记录!$P$2:$P$16)</f>
        <v>0</v>
      </c>
      <c r="O22" s="27">
        <f ca="1">SUMPRODUCT((记录!$B$2:$B$16=$D$1)*(记录!$E$2:$E$16=$D22)*记录!$Q$2:$Q$16)</f>
        <v>0</v>
      </c>
      <c r="P22" s="27">
        <f ca="1">SUMPRODUCT((记录!$B$2:$B$16=$D$1)*(记录!$E$2:$E$16=$D22)*记录!$R$2:$R$16)</f>
        <v>0</v>
      </c>
      <c r="Q22" s="34">
        <f ca="1">SUMPRODUCT((记录!$B$2:$B$16=$D$1)*(记录!$E$2:$E$16=$D22)*记录!$S$2:$S$16)</f>
        <v>0</v>
      </c>
      <c r="R22" s="32"/>
      <c r="S22" s="28"/>
    </row>
    <row r="23" spans="1:19" ht="18" x14ac:dyDescent="0.35">
      <c r="A23" s="14" t="str">
        <f t="array" ref="A23">IF(ISERROR(IF(ROW()-6&gt;COUNTIF(记录!$B$2:$B$16,$D$1),"",INDEX(记录!$A$2:$A$16,SMALL(IF($D$1=记录!$B$2:$B$16,ROW(记录!$B$7:$B$16)-6),ROW(21:21))))),"",IF(ROW()-6&gt;COUNTIF(记录!$B$2:$B$16,$D$1),"",INDEX(记录!$A$2:$A$16,SMALL(IF($D$1=记录!$B$2:$B$16,ROW(记录!$B$7:$B$16)-6),ROW(21:21)))))</f>
        <v/>
      </c>
      <c r="B23" s="14" t="str">
        <f t="array" ref="B23">IF(ISERROR(IF(ROW()-6&gt;COUNTIF(记录!$B$2:$B$16,$D$1),"",INDEX(记录!$C$2:$C$16,SMALL(IF($D$1=记录!$B$2:$B$16,ROW(记录!$B$7:$B$16)-6),ROW(21:21))))),"",IF(ROW()-6&gt;COUNTIF(记录!$B$2:$B$16,$D$1),"",INDEX(记录!$C$2:$C$16,SMALL(IF($D$1=记录!$B$2:$B$16,ROW(记录!$B$7:$B$16)-6),ROW(21:21)))))</f>
        <v/>
      </c>
      <c r="C23" s="11" t="str">
        <f t="array" ref="C23">IF(ISERROR(IF(ROW()-6&gt;COUNTIF(记录!$B$2:$B$16,$D$1),"",INDEX(记录!$D$2:$D$16,SMALL(IF($D$1=记录!$B$2:$B$16,ROW(记录!$B$7:$B$16)-6),ROW(21:21))))),"",IF(ROW()-6&gt;COUNTIF(记录!$B$2:$B$16,$D$1),"",INDEX(记录!$D$2:$D$16,SMALL(IF($D$1=记录!$B$2:$B$16,ROW(记录!$B$7:$B$16)-6),ROW(21:21)))))</f>
        <v/>
      </c>
      <c r="D23" s="14" t="str">
        <f t="array" ref="D23">IF(ISERROR(IF(ROW()-6&gt;COUNTIF(记录!$B$2:$B$16,$D$1),"",INDEX(记录!$E$2:$E$16,SMALL(IF($D$1=记录!$B$2:$B$16,ROW(记录!$B$7:$B$16)-6),ROW(21:21))))),"",IF(ROW()-6&gt;COUNTIF(记录!$B$2:$B$16,$D$1),"",INDEX(记录!$E$2:$E$16,SMALL(IF($D$1=记录!$B$2:$B$16,ROW(记录!$B$7:$B$16)-6),ROW(21:21)))))</f>
        <v/>
      </c>
      <c r="E23" s="14" t="str">
        <f t="array" ref="E23">IF(ISERROR(IF(ROW()-6&gt;COUNTIF(记录!$B$2:$B$16,$D$1),"",INDEX(记录!$F$2:$F$16,SMALL(IF($D$1=记录!$B$2:$B$16,ROW(记录!$B$7:$B$16)-6),ROW(21:21))))),"",IF(ROW()-6&gt;COUNTIF(记录!$B$2:$B$16,$D$1),"",INDEX(记录!$F$2:$F$16,SMALL(IF($D$1=记录!$B$2:$B$16,ROW(记录!$B$7:$B$16)-6),ROW(21:21)))))</f>
        <v/>
      </c>
      <c r="F23" s="17" t="str">
        <f t="array" ref="F23">IF(ISERROR(IF(ROW()-6&gt;COUNTIF(记录!$B$2:$B$16,$D$1),"",INDEX(记录!$G$2:$G$16,SMALL(IF($D$1=记录!$B$2:$B$16,ROW(记录!$B$7:$B$16)-6),ROW(21:21))))),"",IF(ROW()-6&gt;COUNTIF(记录!$B$2:$B$16,$D$1),"",INDEX(记录!$G$2:$G$16,SMALL(IF($D$1=记录!$B$2:$B$16,ROW(记录!$B$7:$B$16)-6),ROW(21:21)))))</f>
        <v/>
      </c>
      <c r="G23" s="16">
        <f>SUMPRODUCT((记录!$B$2:$B$16=$D$1)*(记录!$E$2:$E$16=$D23)*记录!$H$2:$H$16)</f>
        <v>0</v>
      </c>
      <c r="H23" s="16">
        <f>SUMPRODUCT((记录!$B$2:$B$16=$D$1)*(记录!$E$2:$E$16=$D23)*记录!$J$2:$J$16)</f>
        <v>0</v>
      </c>
      <c r="I23" s="24" t="e">
        <f t="shared" si="0"/>
        <v>#VALUE!</v>
      </c>
      <c r="J23" s="25" t="str">
        <f t="array" ref="J23">IF(ISERROR(IF(ROW()-6&gt;COUNTIF(记录!$B$2:$B$16,$D$1),"",INDEX(记录!$L$2:$L$16,SMALL(IF($D$1=记录!$B$2:$B$16,ROW(记录!$B$7:$B$16)-6),ROW(21:21))))),"",IF(ROW()-6&gt;COUNTIF(记录!$B$2:$B$16,$D$1),"",INDEX(记录!$L$2:$L$16,SMALL(IF($D$1=记录!$B$2:$B$16,ROW(记录!$B$7:$B$16)-6),ROW(21:21)))))</f>
        <v/>
      </c>
      <c r="K23" s="14" t="str">
        <f t="array" ref="K23">IF(ISERROR(IF(ROW()-6&gt;COUNTIF(记录!$B$2:$B$16,$D$1),"",INDEX(记录!$M$2:$M$16,SMALL(IF($D$1=记录!$B$2:$B$16,ROW(记录!$B$7:$B$16)-6),ROW(21:21))))),"",IF(ROW()-6&gt;COUNTIF(记录!$B$2:$B$16,$D$1),"",INDEX(记录!$M$2:$M$16,SMALL(IF($D$1=记录!$B$2:$B$16,ROW(记录!$B$7:$B$16)-6),ROW(21:21)))))</f>
        <v/>
      </c>
      <c r="L23" s="14" t="str">
        <f t="array" ref="L23">IF(ISERROR(IF(ROW()-6&gt;COUNTIF(记录!$B$2:$B$16,$D$1),"",INDEX(记录!$N$2:$N$16,SMALL(IF($D$1=记录!$B$2:$B$16,ROW(记录!$B$7:$B$16)-6),ROW(21:21))))),"",IF(ROW()-6&gt;COUNTIF(记录!$B$2:$B$16,$D$1),"",INDEX(记录!$N$2:$N$16,SMALL(IF($D$1=记录!$B$2:$B$16,ROW(记录!$B$7:$B$16)-6),ROW(21:21)))))</f>
        <v/>
      </c>
      <c r="M23" s="26">
        <f ca="1">SUMPRODUCT((记录!$B$2:$B$16=$D$1)*(记录!$E$2:$E$16=$D23)*记录!$O$2:$O$16)</f>
        <v>0</v>
      </c>
      <c r="N23" s="27">
        <f ca="1">SUMPRODUCT((记录!$B$2:$B$16=$D$1)*(记录!$E$2:$E$16=$D23)*记录!$P$2:$P$16)</f>
        <v>0</v>
      </c>
      <c r="O23" s="27">
        <f ca="1">SUMPRODUCT((记录!$B$2:$B$16=$D$1)*(记录!$E$2:$E$16=$D23)*记录!$Q$2:$Q$16)</f>
        <v>0</v>
      </c>
      <c r="P23" s="27">
        <f ca="1">SUMPRODUCT((记录!$B$2:$B$16=$D$1)*(记录!$E$2:$E$16=$D23)*记录!$R$2:$R$16)</f>
        <v>0</v>
      </c>
      <c r="Q23" s="34">
        <f ca="1">SUMPRODUCT((记录!$B$2:$B$16=$D$1)*(记录!$E$2:$E$16=$D23)*记录!$S$2:$S$16)</f>
        <v>0</v>
      </c>
      <c r="R23" s="32"/>
      <c r="S23" s="28"/>
    </row>
    <row r="24" spans="1:19" ht="18" x14ac:dyDescent="0.35">
      <c r="A24" s="14" t="str">
        <f t="array" ref="A24">IF(ISERROR(IF(ROW()-6&gt;COUNTIF(记录!$B$2:$B$16,$D$1),"",INDEX(记录!$A$2:$A$16,SMALL(IF($D$1=记录!$B$2:$B$16,ROW(记录!$B$7:$B$16)-6),ROW(22:22))))),"",IF(ROW()-6&gt;COUNTIF(记录!$B$2:$B$16,$D$1),"",INDEX(记录!$A$2:$A$16,SMALL(IF($D$1=记录!$B$2:$B$16,ROW(记录!$B$7:$B$16)-6),ROW(22:22)))))</f>
        <v/>
      </c>
      <c r="B24" s="14" t="str">
        <f t="array" ref="B24">IF(ISERROR(IF(ROW()-6&gt;COUNTIF(记录!$B$2:$B$16,$D$1),"",INDEX(记录!$C$2:$C$16,SMALL(IF($D$1=记录!$B$2:$B$16,ROW(记录!$B$7:$B$16)-6),ROW(22:22))))),"",IF(ROW()-6&gt;COUNTIF(记录!$B$2:$B$16,$D$1),"",INDEX(记录!$C$2:$C$16,SMALL(IF($D$1=记录!$B$2:$B$16,ROW(记录!$B$7:$B$16)-6),ROW(22:22)))))</f>
        <v/>
      </c>
      <c r="C24" s="11" t="str">
        <f t="array" ref="C24">IF(ISERROR(IF(ROW()-6&gt;COUNTIF(记录!$B$2:$B$16,$D$1),"",INDEX(记录!$D$2:$D$16,SMALL(IF($D$1=记录!$B$2:$B$16,ROW(记录!$B$7:$B$16)-6),ROW(22:22))))),"",IF(ROW()-6&gt;COUNTIF(记录!$B$2:$B$16,$D$1),"",INDEX(记录!$D$2:$D$16,SMALL(IF($D$1=记录!$B$2:$B$16,ROW(记录!$B$7:$B$16)-6),ROW(22:22)))))</f>
        <v/>
      </c>
      <c r="D24" s="14" t="str">
        <f t="array" ref="D24">IF(ISERROR(IF(ROW()-6&gt;COUNTIF(记录!$B$2:$B$16,$D$1),"",INDEX(记录!$E$2:$E$16,SMALL(IF($D$1=记录!$B$2:$B$16,ROW(记录!$B$7:$B$16)-6),ROW(22:22))))),"",IF(ROW()-6&gt;COUNTIF(记录!$B$2:$B$16,$D$1),"",INDEX(记录!$E$2:$E$16,SMALL(IF($D$1=记录!$B$2:$B$16,ROW(记录!$B$7:$B$16)-6),ROW(22:22)))))</f>
        <v/>
      </c>
      <c r="E24" s="14" t="str">
        <f t="array" ref="E24">IF(ISERROR(IF(ROW()-6&gt;COUNTIF(记录!$B$2:$B$16,$D$1),"",INDEX(记录!$F$2:$F$16,SMALL(IF($D$1=记录!$B$2:$B$16,ROW(记录!$B$7:$B$16)-6),ROW(22:22))))),"",IF(ROW()-6&gt;COUNTIF(记录!$B$2:$B$16,$D$1),"",INDEX(记录!$F$2:$F$16,SMALL(IF($D$1=记录!$B$2:$B$16,ROW(记录!$B$7:$B$16)-6),ROW(22:22)))))</f>
        <v/>
      </c>
      <c r="F24" s="17" t="str">
        <f t="array" ref="F24">IF(ISERROR(IF(ROW()-6&gt;COUNTIF(记录!$B$2:$B$16,$D$1),"",INDEX(记录!$G$2:$G$16,SMALL(IF($D$1=记录!$B$2:$B$16,ROW(记录!$B$7:$B$16)-6),ROW(22:22))))),"",IF(ROW()-6&gt;COUNTIF(记录!$B$2:$B$16,$D$1),"",INDEX(记录!$G$2:$G$16,SMALL(IF($D$1=记录!$B$2:$B$16,ROW(记录!$B$7:$B$16)-6),ROW(22:22)))))</f>
        <v/>
      </c>
      <c r="G24" s="16">
        <f>SUMPRODUCT((记录!$B$2:$B$16=$D$1)*(记录!$E$2:$E$16=$D24)*记录!$H$2:$H$16)</f>
        <v>0</v>
      </c>
      <c r="H24" s="16">
        <f>SUMPRODUCT((记录!$B$2:$B$16=$D$1)*(记录!$E$2:$E$16=$D24)*记录!$J$2:$J$16)</f>
        <v>0</v>
      </c>
      <c r="I24" s="24" t="e">
        <f t="shared" si="0"/>
        <v>#VALUE!</v>
      </c>
      <c r="J24" s="25" t="str">
        <f t="array" ref="J24">IF(ISERROR(IF(ROW()-6&gt;COUNTIF(记录!$B$2:$B$16,$D$1),"",INDEX(记录!$L$2:$L$16,SMALL(IF($D$1=记录!$B$2:$B$16,ROW(记录!$B$7:$B$16)-6),ROW(22:22))))),"",IF(ROW()-6&gt;COUNTIF(记录!$B$2:$B$16,$D$1),"",INDEX(记录!$L$2:$L$16,SMALL(IF($D$1=记录!$B$2:$B$16,ROW(记录!$B$7:$B$16)-6),ROW(22:22)))))</f>
        <v/>
      </c>
      <c r="K24" s="14" t="str">
        <f t="array" ref="K24">IF(ISERROR(IF(ROW()-6&gt;COUNTIF(记录!$B$2:$B$16,$D$1),"",INDEX(记录!$M$2:$M$16,SMALL(IF($D$1=记录!$B$2:$B$16,ROW(记录!$B$7:$B$16)-6),ROW(22:22))))),"",IF(ROW()-6&gt;COUNTIF(记录!$B$2:$B$16,$D$1),"",INDEX(记录!$M$2:$M$16,SMALL(IF($D$1=记录!$B$2:$B$16,ROW(记录!$B$7:$B$16)-6),ROW(22:22)))))</f>
        <v/>
      </c>
      <c r="L24" s="14" t="str">
        <f t="array" ref="L24">IF(ISERROR(IF(ROW()-6&gt;COUNTIF(记录!$B$2:$B$16,$D$1),"",INDEX(记录!$N$2:$N$16,SMALL(IF($D$1=记录!$B$2:$B$16,ROW(记录!$B$7:$B$16)-6),ROW(22:22))))),"",IF(ROW()-6&gt;COUNTIF(记录!$B$2:$B$16,$D$1),"",INDEX(记录!$N$2:$N$16,SMALL(IF($D$1=记录!$B$2:$B$16,ROW(记录!$B$7:$B$16)-6),ROW(22:22)))))</f>
        <v/>
      </c>
      <c r="M24" s="26">
        <f ca="1">SUMPRODUCT((记录!$B$2:$B$16=$D$1)*(记录!$E$2:$E$16=$D24)*记录!$O$2:$O$16)</f>
        <v>0</v>
      </c>
      <c r="N24" s="27">
        <f ca="1">SUMPRODUCT((记录!$B$2:$B$16=$D$1)*(记录!$E$2:$E$16=$D24)*记录!$P$2:$P$16)</f>
        <v>0</v>
      </c>
      <c r="O24" s="27">
        <f ca="1">SUMPRODUCT((记录!$B$2:$B$16=$D$1)*(记录!$E$2:$E$16=$D24)*记录!$Q$2:$Q$16)</f>
        <v>0</v>
      </c>
      <c r="P24" s="27">
        <f ca="1">SUMPRODUCT((记录!$B$2:$B$16=$D$1)*(记录!$E$2:$E$16=$D24)*记录!$R$2:$R$16)</f>
        <v>0</v>
      </c>
      <c r="Q24" s="34">
        <f ca="1">SUMPRODUCT((记录!$B$2:$B$16=$D$1)*(记录!$E$2:$E$16=$D24)*记录!$S$2:$S$16)</f>
        <v>0</v>
      </c>
      <c r="R24" s="32"/>
      <c r="S24" s="28"/>
    </row>
    <row r="25" spans="1:19" x14ac:dyDescent="0.3">
      <c r="M25" s="28"/>
    </row>
  </sheetData>
  <phoneticPr fontId="29" type="noConversion"/>
  <conditionalFormatting sqref="I3:I24">
    <cfRule type="expression" dxfId="2" priority="3" stopIfTrue="1">
      <formula>ISERR(I3)</formula>
    </cfRule>
  </conditionalFormatting>
  <conditionalFormatting sqref="R4:S24 A3:F24 J3:L24">
    <cfRule type="expression" dxfId="1" priority="1" stopIfTrue="1">
      <formula>ISERR(A3)</formula>
    </cfRule>
  </conditionalFormatting>
  <conditionalFormatting sqref="G3:H24 M3:Q24">
    <cfRule type="expression" dxfId="0" priority="2" stopIfTrue="1">
      <formula>ISERR(G3)</formula>
    </cfRule>
  </conditionalFormatting>
  <dataValidations count="1">
    <dataValidation type="list" allowBlank="1" showInputMessage="1" showErrorMessage="1" sqref="D1" xr:uid="{00000000-0002-0000-0400-000000000000}">
      <formula1>$U$2:$U$15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I5:I24" evalError="1" emptyCellReference="1"/>
    <ignoredError sqref="K5:K6 L4:Q24 J4:J24 B3 C4:C24 J3 L3:Q3 I3 I4 D3:G3 D4:H24 C3 B4 A5:B24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目录</vt:lpstr>
      <vt:lpstr>记录</vt:lpstr>
      <vt:lpstr>按业务员查询</vt:lpstr>
      <vt:lpstr>分析</vt:lpstr>
      <vt:lpstr>按客户查询</vt:lpstr>
      <vt:lpstr>客户</vt:lpstr>
      <vt:lpstr>业务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董学良</dc:creator>
  <cp:lastModifiedBy>Administrator</cp:lastModifiedBy>
  <dcterms:created xsi:type="dcterms:W3CDTF">1997-01-14T01:50:00Z</dcterms:created>
  <dcterms:modified xsi:type="dcterms:W3CDTF">2019-05-31T03:00:00Z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2052-10.1.0.7245</vt:lpwstr>
  </property>
</Properties>
</file>